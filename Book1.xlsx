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59afdaf467fe0ec0/Desktop/Hospital Emergency Room Dashboard-20260225T031236Z-3-001/Hospital Emergency Room Dashboard/My Hospital Dashboard Final Project/"/>
    </mc:Choice>
  </mc:AlternateContent>
  <xr:revisionPtr revIDLastSave="1841" documentId="8_{3000581E-F0A4-4074-BB14-17ED4A64961B}" xr6:coauthVersionLast="47" xr6:coauthVersionMax="47" xr10:uidLastSave="{D411B2F1-DEEF-4667-BB27-5643C358A18E}"/>
  <bookViews>
    <workbookView xWindow="-108" yWindow="-108" windowWidth="23256" windowHeight="14856" activeTab="1" xr2:uid="{786DBBBF-67E4-4650-AAFA-81F45623C724}"/>
  </bookViews>
  <sheets>
    <sheet name="Pivot Report" sheetId="2" r:id="rId1"/>
    <sheet name="Dashboard" sheetId="3" r:id="rId2"/>
    <sheet name="Average wait time daily trend" sheetId="6" r:id="rId3"/>
    <sheet name="Daily ER no. of Patient" sheetId="5" r:id="rId4"/>
    <sheet name="Satisfaction score daily trends" sheetId="7"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fd338e2-ad7a-471b-9d69-5877f1590838" name="Hospital Emergency Room Data" connection="Query - Hospital Emergency Room Data"/>
          <x15:modelTable id="Calender_480fe3f1-8d8c-4e9c-bdf6-0b8c4069cf53"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2" l="1"/>
  <c r="D41" i="2"/>
  <c r="C40" i="2"/>
  <c r="D40" i="2"/>
  <c r="B40" i="2"/>
  <c r="B4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AD46CB-9A81-4E72-953A-DF59B752E4BB}" name="Query - Calender" description="Connection to the 'Calender' query in the workbook." type="100" refreshedVersion="8" minRefreshableVersion="5">
    <extLst>
      <ext xmlns:x15="http://schemas.microsoft.com/office/spreadsheetml/2010/11/main" uri="{DE250136-89BD-433C-8126-D09CA5730AF9}">
        <x15:connection id="6b0235e8-8579-4d2b-9fb4-f543db3d240d"/>
      </ext>
    </extLst>
  </connection>
  <connection id="2" xr16:uid="{55F42F47-7229-4AD6-B0F7-B5E41FAA440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1b64145-ff11-42ab-9d3b-d0290cbe8bf1"/>
      </ext>
    </extLst>
  </connection>
  <connection id="3" xr16:uid="{18014F45-E53C-420C-9AC9-3E27DC0D9A8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<sst xmlns="http://schemas.openxmlformats.org/spreadsheetml/2006/main" count="90" uniqueCount="53">
  <si>
    <t>Row Labels</t>
  </si>
  <si>
    <t>Grand Total</t>
  </si>
  <si>
    <t>Distinct Count of Patient Id</t>
  </si>
  <si>
    <t>No. of Patient</t>
  </si>
  <si>
    <t>Average of Patient Waittime</t>
  </si>
  <si>
    <t>Average of Patient Satisfaction Score</t>
  </si>
  <si>
    <t>2023</t>
  </si>
  <si>
    <t>4-May</t>
  </si>
  <si>
    <t>5-May</t>
  </si>
  <si>
    <t>6-May</t>
  </si>
  <si>
    <t>7-May</t>
  </si>
  <si>
    <t>8-May</t>
  </si>
  <si>
    <t>9-May</t>
  </si>
  <si>
    <t>10-May</t>
  </si>
  <si>
    <t>11-May</t>
  </si>
  <si>
    <t>12-May</t>
  </si>
  <si>
    <t>Daily trends of no. of patients</t>
  </si>
  <si>
    <t>Average wait time</t>
  </si>
  <si>
    <t>Satisfaction score daily trends</t>
  </si>
  <si>
    <t>Admitted</t>
  </si>
  <si>
    <t>Not admitted</t>
  </si>
  <si>
    <t>Count of Patient Admission Flag</t>
  </si>
  <si>
    <t>Count of Patient Admission Flag2</t>
  </si>
  <si>
    <t>Admission Status</t>
  </si>
  <si>
    <t>% Status</t>
  </si>
  <si>
    <t>Patient</t>
  </si>
  <si>
    <t>0-09</t>
  </si>
  <si>
    <t>10-19</t>
  </si>
  <si>
    <t>20-29</t>
  </si>
  <si>
    <t>30-39</t>
  </si>
  <si>
    <t>40-49</t>
  </si>
  <si>
    <t>50-59</t>
  </si>
  <si>
    <t>60-69</t>
  </si>
  <si>
    <t>70-79</t>
  </si>
  <si>
    <t>Count of Age Group</t>
  </si>
  <si>
    <t>Age group wise analysis</t>
  </si>
  <si>
    <t>Delay</t>
  </si>
  <si>
    <t>Ontime</t>
  </si>
  <si>
    <t>Count of Patient attend Status</t>
  </si>
  <si>
    <t>Attended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</si>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</sst>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1" fontId="0" fillId="0" borderId="0" xfId="0" applyNumberFormat="1"/>
    <xf numFmtId="10" fontId="0" fillId="0" borderId="0" xfId="0" applyNumberFormat="1"/>
    <xf numFmtId="0" fontId="0" fillId="4" borderId="0" xfId="0" applyFill="1"/>
    <xf numFmtId="0" fontId="0" fillId="5" borderId="0" xfId="0" applyFill="1"/>
    <xf numFmtId="0" fontId="0" fillId="4" borderId="0" xfId="0" applyFill="1" applyAlignment="1">
      <alignment horizontal="center"/>
    </xf>
    <xf numFmtId="0" fontId="0" fillId="5" borderId="0" xfId="0" applyFill="1" applyAlignment="1">
      <alignment horizontal="center"/>
    </xf>
    <xf numFmtId="0" fontId="0" fillId="6" borderId="0" xfId="0" applyFill="1"/>
    <xf numFmtId="9" fontId="0" fillId="5" borderId="0" xfId="1" applyFont="1" applyFill="1" applyAlignment="1">
      <alignment horizontal="center"/>
    </xf>
    <xf numFmtId="0" fontId="0" fillId="0" borderId="0" xfId="0" applyAlignment="1">
      <alignment horizontal="center"/>
    </xf>
  </cellXfs>
  <cellStyles count="2">
    <cellStyle name="Normal" xfId="0" builtinId="0"/>
    <cellStyle name="Percent" xfId="1" builtinId="5"/>
  </cellStyles>
  <dxfs count="58">
    <dxf>
      <numFmt numFmtId="2" formatCode="0.00"/>
    </dxf>
    <dxf>
      <numFmt numFmtId="164" formatCode="0.000"/>
    </dxf>
    <dxf>
      <numFmt numFmtId="1" formatCode="0"/>
    </dxf>
    <dxf>
      <numFmt numFmtId="1" formatCode="0"/>
    </dxf>
    <dxf>
      <numFmt numFmtId="2" formatCode="0.00"/>
    </dxf>
    <dxf>
      <alignment relativeIndent="-1"/>
    </dxf>
    <dxf>
      <alignment relativeIndent="-1"/>
    </dxf>
    <dxf>
      <alignment horizontal="left" relativeIndent="1"/>
    </dxf>
    <dxf>
      <alignment horizontal="left" relativeIndent="1"/>
    </dxf>
    <dxf>
      <numFmt numFmtId="2" formatCode="0.00"/>
    </dxf>
    <dxf>
      <numFmt numFmtId="164" formatCode="0.000"/>
    </dxf>
    <dxf>
      <numFmt numFmtId="1" formatCode="0"/>
    </dxf>
    <dxf>
      <numFmt numFmtId="1" formatCode="0"/>
    </dxf>
    <dxf>
      <numFmt numFmtId="2" formatCode="0.00"/>
    </dxf>
    <dxf>
      <alignment relativeIndent="-1"/>
    </dxf>
    <dxf>
      <alignment relativeIndent="-1"/>
    </dxf>
    <dxf>
      <alignment horizontal="left" relativeIndent="1"/>
    </dxf>
    <dxf>
      <alignment horizontal="left" relativeIndent="1"/>
    </dxf>
    <dxf>
      <numFmt numFmtId="2" formatCode="0.00"/>
    </dxf>
    <dxf>
      <alignment relativeIndent="-1"/>
    </dxf>
    <dxf>
      <alignment relativeIndent="-1"/>
    </dxf>
    <dxf>
      <alignment horizontal="left" relativeIndent="1"/>
    </dxf>
    <dxf>
      <alignment horizontal="left" relativeIndent="1"/>
    </dxf>
    <dxf>
      <numFmt numFmtId="1" formatCode="0"/>
    </dxf>
    <dxf>
      <numFmt numFmtId="1" formatCode="0"/>
    </dxf>
    <dxf>
      <numFmt numFmtId="2" formatCode="0.00"/>
    </dxf>
    <dxf>
      <alignment relativeIndent="-1"/>
    </dxf>
    <dxf>
      <alignment relativeIndent="-1"/>
    </dxf>
    <dxf>
      <alignment horizontal="left" relativeIndent="1"/>
    </dxf>
    <dxf>
      <alignment horizontal="left" relativeIndent="1"/>
    </dxf>
    <dxf>
      <numFmt numFmtId="2" formatCode="0.00"/>
    </dxf>
    <dxf>
      <alignment relativeIndent="-1"/>
    </dxf>
    <dxf>
      <alignment relativeIndent="-1"/>
    </dxf>
    <dxf>
      <alignment horizontal="left" relativeIndent="1"/>
    </dxf>
    <dxf>
      <alignment horizontal="left" relativeIndent="1"/>
    </dxf>
    <dxf>
      <numFmt numFmtId="14" formatCode="0.00%"/>
    </dxf>
    <dxf>
      <numFmt numFmtId="1" formatCode="0"/>
    </dxf>
    <dxf>
      <numFmt numFmtId="1" formatCode="0"/>
    </dxf>
    <dxf>
      <numFmt numFmtId="2" formatCode="0.00"/>
    </dxf>
    <dxf>
      <alignment relativeIndent="-1"/>
    </dxf>
    <dxf>
      <alignment relativeIndent="-1"/>
    </dxf>
    <dxf>
      <alignment horizontal="left" relativeIndent="1"/>
    </dxf>
    <dxf>
      <alignment horizontal="left" relativeIndent="1"/>
    </dxf>
    <dxf>
      <numFmt numFmtId="1" formatCode="0"/>
    </dxf>
    <dxf>
      <numFmt numFmtId="2" formatCode="0.00"/>
    </dxf>
    <dxf>
      <alignment relativeIndent="-1"/>
    </dxf>
    <dxf>
      <alignment relativeIndent="-1"/>
    </dxf>
    <dxf>
      <alignment horizontal="left" relativeIndent="1"/>
    </dxf>
    <dxf>
      <alignment horizontal="left" relativeIndent="1"/>
    </dxf>
    <dxf>
      <numFmt numFmtId="1" formatCode="0"/>
    </dxf>
    <dxf>
      <numFmt numFmtId="1" formatCode="0"/>
    </dxf>
    <dxf>
      <numFmt numFmtId="2" formatCode="0.00"/>
    </dxf>
    <dxf>
      <alignment relativeIndent="-1"/>
    </dxf>
    <dxf>
      <alignment relativeIndent="-1"/>
    </dxf>
    <dxf>
      <alignment horizontal="left" relativeIndent="1"/>
    </dxf>
    <dxf>
      <alignment horizontal="left" relativeIndent="1"/>
    </dxf>
    <dxf>
      <font>
        <b/>
        <color theme="1"/>
      </font>
      <border>
        <bottom style="thin">
          <color theme="4"/>
        </bottom>
        <vertical/>
        <horizontal/>
      </border>
    </dxf>
    <dxf>
      <font>
        <sz val="10"/>
        <color theme="1"/>
      </font>
      <fill>
        <gradientFill degree="90">
          <stop position="0">
            <color theme="0" tint="-0.25098422193060094"/>
          </stop>
          <stop position="1">
            <color theme="4"/>
          </stop>
        </gradientFill>
      </fill>
      <border diagonalUp="0" diagonalDown="0">
        <left/>
        <right/>
        <top/>
        <bottom/>
        <vertical/>
        <horizontal/>
      </border>
    </dxf>
  </dxfs>
  <tableStyles count="1" defaultTableStyle="TableStyleMedium2" defaultPivotStyle="PivotStyleLight16">
    <tableStyle name="my" pivot="0" table="0" count="10" xr9:uid="{838D80A7-410D-4C48-A4FD-D74D1ACA8979}">
      <tableStyleElement type="wholeTable" dxfId="57"/>
      <tableStyleElement type="headerRow" dxfId="56"/>
    </tableStyle>
  </tableStyles>
  <colors>
    <mruColors>
      <color rgb="FF96969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fld id="{8FA99060-164D-4F02-90DE-7F15B86D683B}" type="CELLRANGE">
                  <a:rPr lang="en-US"/>
                  <a:pPr/>
                  <a:t>[CELLRANGE]</a:t>
                </a:fld>
                <a:r>
                  <a:rPr lang="en-US" baseline="0"/>
                  <a:t>, </a:t>
                </a:r>
                <a:fld id="{CEE6557D-3235-4C74-80F3-AFBF402B1D1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FE38D505-0B6F-4CCC-ABAE-850D09AE71EC}" type="CELLRANGE">
                  <a:rPr lang="en-US"/>
                  <a:pPr/>
                  <a:t>[CELLRANGE]</a:t>
                </a:fld>
                <a:r>
                  <a:rPr lang="en-US" baseline="0"/>
                  <a:t>, </a:t>
                </a:r>
                <a:fld id="{68648D8F-3631-482E-A430-55E7B867B18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tx>
            <c:rich>
              <a:bodyPr/>
              <a:lstStyle/>
              <a:p>
                <a:fld id="{E5A36732-D46D-4619-8594-EA3A13B2ACC1}" type="CELLRANGE">
                  <a:rPr lang="en-US"/>
                  <a:pPr/>
                  <a:t>[CELLRANGE]</a:t>
                </a:fld>
                <a:r>
                  <a:rPr lang="en-US" baseline="0"/>
                  <a:t>, </a:t>
                </a:r>
                <a:fld id="{6D155709-F90E-4F6F-9528-EBFCC15BC2FC}"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a:lstStyle/>
              <a:p>
                <a:fld id="{D9DD7B08-3A53-47D9-ADAC-C12F6218BBF8}" type="CELLRANGE">
                  <a:rPr lang="en-US"/>
                  <a:pPr/>
                  <a:t>[CELLRANGE]</a:t>
                </a:fld>
                <a:r>
                  <a:rPr lang="en-US" baseline="0"/>
                  <a:t>, </a:t>
                </a:r>
                <a:fld id="{9DDE9B71-1C85-46C2-9B14-0E4646F394D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layout>
            <c:manualLayout>
              <c:x val="0.13248153421381761"/>
              <c:y val="-7.7798309229026474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69998F82-0DB6-4E10-8DC0-52BB7DDFE40F}"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8974661821118508"/>
                  <c:h val="0.26631349390149761"/>
                </c:manualLayout>
              </c15:layout>
              <c15:dlblFieldTable/>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84BC0344-1504-4262-A852-5961B93AA039}"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5768398268398269"/>
                  <c:h val="0.21591760299625465"/>
                </c:manualLayout>
              </c15:layout>
              <c15:dlblFieldTable/>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775F99D5-620C-4DA5-8AD8-5062617F8519}"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5768398268398269"/>
                  <c:h val="0.21591760299625465"/>
                </c:manualLayout>
              </c15:layout>
              <c15:dlblFieldTable/>
              <c15:showDataLabelsRange val="1"/>
            </c:ext>
          </c:extLst>
        </c:dLbl>
      </c:pivotFmt>
      <c:pivotFmt>
        <c:idx val="10"/>
        <c:spPr>
          <a:solidFill>
            <a:schemeClr val="accent1"/>
          </a:solidFill>
          <a:ln>
            <a:noFill/>
          </a:ln>
          <a:effectLst/>
        </c:spPr>
        <c:dLbl>
          <c:idx val="0"/>
          <c:layout>
            <c:manualLayout>
              <c:x val="0.13248153421381761"/>
              <c:y val="-7.7798309229026474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1B7F011F-56E7-435A-8901-9ED286923DC0}"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8974661821118508"/>
                  <c:h val="0.26631349390149761"/>
                </c:manualLayout>
              </c15:layout>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D24CE93D-E854-41E6-9C0B-D83F85BE621F}"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5768398268398269"/>
                  <c:h val="0.21591760299625465"/>
                </c:manualLayout>
              </c15:layout>
              <c15:dlblFieldTable/>
              <c15:showDataLabelsRange val="1"/>
            </c:ext>
          </c:extLst>
        </c:dLbl>
      </c:pivotFmt>
      <c:pivotFmt>
        <c:idx val="14"/>
        <c:spPr>
          <a:solidFill>
            <a:schemeClr val="accent1"/>
          </a:solidFill>
          <a:ln>
            <a:noFill/>
          </a:ln>
          <a:effectLst/>
        </c:spPr>
        <c:dLbl>
          <c:idx val="0"/>
          <c:layout>
            <c:manualLayout>
              <c:x val="0.14088293311162192"/>
              <c:y val="9.2603268341457323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580AF5C6-9D92-4681-8D05-83FB7F83BB75}"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3077225923682616"/>
                  <c:h val="0.38886251350934076"/>
                </c:manualLayout>
              </c15:layout>
              <c15:dlblFieldTable/>
              <c15:showDataLabelsRange val="1"/>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10389610389612E-2"/>
          <c:y val="3.5087719298245612E-2"/>
          <c:w val="0.32770562770562772"/>
          <c:h val="0.64704798136188035"/>
        </c:manualLayout>
      </c:layout>
      <c:barChart>
        <c:barDir val="bar"/>
        <c:grouping val="clustered"/>
        <c:varyColors val="0"/>
        <c:ser>
          <c:idx val="0"/>
          <c:order val="0"/>
          <c:tx>
            <c:strRef>
              <c:f>'Pivot Report'!$D$34:$D$35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3A89-46F0-B05A-68FF4C99DE25}"/>
              </c:ext>
            </c:extLst>
          </c:dPt>
          <c:dPt>
            <c:idx val="1"/>
            <c:invertIfNegative val="0"/>
            <c:bubble3D val="0"/>
            <c:extLst>
              <c:ext xmlns:c16="http://schemas.microsoft.com/office/drawing/2014/chart" uri="{C3380CC4-5D6E-409C-BE32-E72D297353CC}">
                <c16:uniqueId val="{00000001-3A89-46F0-B05A-68FF4C99DE25}"/>
              </c:ext>
            </c:extLst>
          </c:dPt>
          <c:dLbls>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D24CE93D-E854-41E6-9C0B-D83F85BE621F}"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5768398268398269"/>
                      <c:h val="0.21591760299625465"/>
                    </c:manualLayout>
                  </c15:layout>
                  <c15:dlblFieldTable/>
                  <c15:showDataLabelsRange val="1"/>
                </c:ext>
                <c:ext xmlns:c16="http://schemas.microsoft.com/office/drawing/2014/chart" uri="{C3380CC4-5D6E-409C-BE32-E72D297353CC}">
                  <c16:uniqueId val="{00000000-3A89-46F0-B05A-68FF4C99DE25}"/>
                </c:ext>
              </c:extLst>
            </c:dLbl>
            <c:dLbl>
              <c:idx val="1"/>
              <c:layout>
                <c:manualLayout>
                  <c:x val="0.14088293311162192"/>
                  <c:y val="9.2603268341457323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580AF5C6-9D92-4681-8D05-83FB7F83BB75}"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3077225923682616"/>
                      <c:h val="0.38886251350934076"/>
                    </c:manualLayout>
                  </c15:layout>
                  <c15:dlblFieldTable/>
                  <c15:showDataLabelsRange val="1"/>
                </c:ext>
                <c:ext xmlns:c16="http://schemas.microsoft.com/office/drawing/2014/chart" uri="{C3380CC4-5D6E-409C-BE32-E72D297353CC}">
                  <c16:uniqueId val="{00000001-3A89-46F0-B05A-68FF4C99DE2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Report'!$D$34:$D$35</c:f>
              <c:strCache>
                <c:ptCount val="2"/>
                <c:pt idx="0">
                  <c:v>Admitted</c:v>
                </c:pt>
                <c:pt idx="1">
                  <c:v>Not admitted</c:v>
                </c:pt>
              </c:strCache>
            </c:strRef>
          </c:cat>
          <c:val>
            <c:numRef>
              <c:f>'Pivot Report'!$D$34:$D$35</c:f>
              <c:numCache>
                <c:formatCode>0</c:formatCode>
                <c:ptCount val="2"/>
                <c:pt idx="0">
                  <c:v>74</c:v>
                </c:pt>
                <c:pt idx="1">
                  <c:v>77</c:v>
                </c:pt>
              </c:numCache>
            </c:numRef>
          </c:val>
          <c:extLst>
            <c:ext xmlns:c15="http://schemas.microsoft.com/office/drawing/2012/chart" uri="{02D57815-91ED-43cb-92C2-25804820EDAC}">
              <c15:datalabelsRange>
                <c15:f>'Pivot Report'!$D$34:$D$35</c15:f>
                <c15:dlblRangeCache>
                  <c:ptCount val="2"/>
                  <c:pt idx="0">
                    <c:v>49.01%</c:v>
                  </c:pt>
                  <c:pt idx="1">
                    <c:v>50.99%</c:v>
                  </c:pt>
                </c15:dlblRangeCache>
              </c15:datalabelsRange>
            </c:ext>
            <c:ext xmlns:c16="http://schemas.microsoft.com/office/drawing/2014/chart" uri="{C3380CC4-5D6E-409C-BE32-E72D297353CC}">
              <c16:uniqueId val="{00000002-3A89-46F0-B05A-68FF4C99DE25}"/>
            </c:ext>
          </c:extLst>
        </c:ser>
        <c:ser>
          <c:idx val="1"/>
          <c:order val="1"/>
          <c:tx>
            <c:strRef>
              <c:f>'Pivot Report'!$D$34:$D$35</c:f>
              <c:strCache>
                <c:ptCount val="1"/>
                <c:pt idx="0">
                  <c:v>Count of Patient Admission Flag2</c:v>
                </c:pt>
              </c:strCache>
            </c:strRef>
          </c:tx>
          <c:spPr>
            <a:solidFill>
              <a:schemeClr val="accent2"/>
            </a:solidFill>
            <a:ln>
              <a:noFill/>
            </a:ln>
            <a:effectLst/>
          </c:spPr>
          <c:invertIfNegative val="0"/>
          <c:cat>
            <c:strRef>
              <c:f>'Pivot Report'!$D$34:$D$35</c:f>
              <c:strCache>
                <c:ptCount val="2"/>
                <c:pt idx="0">
                  <c:v>Admitted</c:v>
                </c:pt>
                <c:pt idx="1">
                  <c:v>Not admitted</c:v>
                </c:pt>
              </c:strCache>
            </c:strRef>
          </c:cat>
          <c:val>
            <c:numRef>
              <c:f>'Pivot Report'!$D$34:$D$35</c:f>
              <c:numCache>
                <c:formatCode>0.00%</c:formatCode>
                <c:ptCount val="2"/>
                <c:pt idx="0">
                  <c:v>0.49006622516556292</c:v>
                </c:pt>
                <c:pt idx="1">
                  <c:v>0.50993377483443714</c:v>
                </c:pt>
              </c:numCache>
            </c:numRef>
          </c:val>
          <c:extLst>
            <c:ext xmlns:c16="http://schemas.microsoft.com/office/drawing/2014/chart" uri="{C3380CC4-5D6E-409C-BE32-E72D297353CC}">
              <c16:uniqueId val="{00000003-3A89-46F0-B05A-68FF4C99DE25}"/>
            </c:ext>
          </c:extLst>
        </c:ser>
        <c:dLbls>
          <c:showLegendKey val="0"/>
          <c:showVal val="0"/>
          <c:showCatName val="0"/>
          <c:showSerName val="0"/>
          <c:showPercent val="0"/>
          <c:showBubbleSize val="0"/>
        </c:dLbls>
        <c:gapWidth val="0"/>
        <c:overlap val="-60"/>
        <c:axId val="644070576"/>
        <c:axId val="644070096"/>
      </c:barChart>
      <c:catAx>
        <c:axId val="644070576"/>
        <c:scaling>
          <c:orientation val="minMax"/>
        </c:scaling>
        <c:delete val="1"/>
        <c:axPos val="l"/>
        <c:numFmt formatCode="General" sourceLinked="1"/>
        <c:majorTickMark val="none"/>
        <c:minorTickMark val="none"/>
        <c:tickLblPos val="nextTo"/>
        <c:crossAx val="644070096"/>
        <c:crosses val="autoZero"/>
        <c:auto val="1"/>
        <c:lblAlgn val="ctr"/>
        <c:lblOffset val="100"/>
        <c:noMultiLvlLbl val="0"/>
      </c:catAx>
      <c:valAx>
        <c:axId val="644070096"/>
        <c:scaling>
          <c:orientation val="minMax"/>
        </c:scaling>
        <c:delete val="1"/>
        <c:axPos val="b"/>
        <c:numFmt formatCode="0" sourceLinked="1"/>
        <c:majorTickMark val="none"/>
        <c:minorTickMark val="none"/>
        <c:tickLblPos val="nextTo"/>
        <c:crossAx val="64407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065038480359445E-2"/>
          <c:y val="1.5706036745406823E-2"/>
          <c:w val="0.9590853685662174"/>
          <c:h val="0.96521990825913118"/>
        </c:manualLayout>
      </c:layout>
      <c:areaChart>
        <c:grouping val="standard"/>
        <c:varyColors val="0"/>
        <c:ser>
          <c:idx val="0"/>
          <c:order val="0"/>
          <c:tx>
            <c:strRef>
              <c:f>'Pivot Report'!$C$17</c:f>
              <c:strCache>
                <c:ptCount val="1"/>
                <c:pt idx="0">
                  <c:v>Total</c:v>
                </c:pt>
              </c:strCache>
            </c:strRef>
          </c:tx>
          <c:spPr>
            <a:solidFill>
              <a:schemeClr val="accent1"/>
            </a:solidFill>
            <a:ln>
              <a:noFill/>
            </a:ln>
            <a:effectLst/>
          </c:spPr>
          <c:cat>
            <c:strRef>
              <c:f>'Pivot Report'!$B$18:$B$27</c:f>
              <c:strCache>
                <c:ptCount val="9"/>
                <c:pt idx="0">
                  <c:v>4-May</c:v>
                </c:pt>
                <c:pt idx="1">
                  <c:v>5-May</c:v>
                </c:pt>
                <c:pt idx="2">
                  <c:v>6-May</c:v>
                </c:pt>
                <c:pt idx="3">
                  <c:v>7-May</c:v>
                </c:pt>
                <c:pt idx="4">
                  <c:v>8-May</c:v>
                </c:pt>
                <c:pt idx="5">
                  <c:v>9-May</c:v>
                </c:pt>
                <c:pt idx="6">
                  <c:v>10-May</c:v>
                </c:pt>
                <c:pt idx="7">
                  <c:v>11-May</c:v>
                </c:pt>
                <c:pt idx="8">
                  <c:v>12-May</c:v>
                </c:pt>
              </c:strCache>
            </c:strRef>
          </c:cat>
          <c:val>
            <c:numRef>
              <c:f>'Pivot Report'!$C$18:$C$27</c:f>
              <c:numCache>
                <c:formatCode>General</c:formatCode>
                <c:ptCount val="9"/>
                <c:pt idx="0">
                  <c:v>19</c:v>
                </c:pt>
                <c:pt idx="1">
                  <c:v>18</c:v>
                </c:pt>
                <c:pt idx="2">
                  <c:v>18</c:v>
                </c:pt>
                <c:pt idx="3">
                  <c:v>8</c:v>
                </c:pt>
                <c:pt idx="4">
                  <c:v>23</c:v>
                </c:pt>
                <c:pt idx="5">
                  <c:v>13</c:v>
                </c:pt>
                <c:pt idx="6">
                  <c:v>19</c:v>
                </c:pt>
                <c:pt idx="7">
                  <c:v>17</c:v>
                </c:pt>
                <c:pt idx="8">
                  <c:v>16</c:v>
                </c:pt>
              </c:numCache>
            </c:numRef>
          </c:val>
          <c:extLst>
            <c:ext xmlns:c16="http://schemas.microsoft.com/office/drawing/2014/chart" uri="{C3380CC4-5D6E-409C-BE32-E72D297353CC}">
              <c16:uniqueId val="{00000000-0F66-43B4-9BF5-EF80787F93BF}"/>
            </c:ext>
          </c:extLst>
        </c:ser>
        <c:dLbls>
          <c:showLegendKey val="0"/>
          <c:showVal val="0"/>
          <c:showCatName val="0"/>
          <c:showSerName val="0"/>
          <c:showPercent val="0"/>
          <c:showBubbleSize val="0"/>
        </c:dLbls>
        <c:axId val="2143707823"/>
        <c:axId val="2143702543"/>
      </c:areaChart>
      <c:catAx>
        <c:axId val="2143707823"/>
        <c:scaling>
          <c:orientation val="minMax"/>
        </c:scaling>
        <c:delete val="1"/>
        <c:axPos val="b"/>
        <c:numFmt formatCode="General" sourceLinked="1"/>
        <c:majorTickMark val="out"/>
        <c:minorTickMark val="none"/>
        <c:tickLblPos val="nextTo"/>
        <c:crossAx val="2143702543"/>
        <c:crosses val="autoZero"/>
        <c:auto val="1"/>
        <c:lblAlgn val="ctr"/>
        <c:lblOffset val="100"/>
        <c:noMultiLvlLbl val="0"/>
      </c:catAx>
      <c:valAx>
        <c:axId val="2143702543"/>
        <c:scaling>
          <c:orientation val="minMax"/>
        </c:scaling>
        <c:delete val="1"/>
        <c:axPos val="l"/>
        <c:numFmt formatCode="General" sourceLinked="1"/>
        <c:majorTickMark val="none"/>
        <c:minorTickMark val="none"/>
        <c:tickLblPos val="nextTo"/>
        <c:crossAx val="2143707823"/>
        <c:crosses val="autoZero"/>
        <c:crossBetween val="midCat"/>
      </c:valAx>
      <c:spPr>
        <a:solidFill>
          <a:schemeClr val="bg1">
            <a:lumMod val="8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7022353531136599E-2"/>
          <c:w val="1"/>
          <c:h val="0.97297764646886342"/>
        </c:manualLayout>
      </c:layout>
      <c:areaChart>
        <c:grouping val="stacked"/>
        <c:varyColors val="0"/>
        <c:ser>
          <c:idx val="0"/>
          <c:order val="0"/>
          <c:tx>
            <c:strRef>
              <c:f>'Pivot Report'!$F$2</c:f>
              <c:strCache>
                <c:ptCount val="1"/>
                <c:pt idx="0">
                  <c:v>Total</c:v>
                </c:pt>
              </c:strCache>
            </c:strRef>
          </c:tx>
          <c:spPr>
            <a:solidFill>
              <a:schemeClr val="accent1"/>
            </a:solidFill>
            <a:ln>
              <a:noFill/>
            </a:ln>
            <a:effectLst/>
          </c:spPr>
          <c:cat>
            <c:strRef>
              <c:f>'Pivot Report'!$E$3:$E$12</c:f>
              <c:strCache>
                <c:ptCount val="9"/>
                <c:pt idx="0">
                  <c:v>4-May</c:v>
                </c:pt>
                <c:pt idx="1">
                  <c:v>5-May</c:v>
                </c:pt>
                <c:pt idx="2">
                  <c:v>6-May</c:v>
                </c:pt>
                <c:pt idx="3">
                  <c:v>7-May</c:v>
                </c:pt>
                <c:pt idx="4">
                  <c:v>8-May</c:v>
                </c:pt>
                <c:pt idx="5">
                  <c:v>9-May</c:v>
                </c:pt>
                <c:pt idx="6">
                  <c:v>10-May</c:v>
                </c:pt>
                <c:pt idx="7">
                  <c:v>11-May</c:v>
                </c:pt>
                <c:pt idx="8">
                  <c:v>12-May</c:v>
                </c:pt>
              </c:strCache>
            </c:strRef>
          </c:cat>
          <c:val>
            <c:numRef>
              <c:f>'Pivot Report'!$F$3:$F$12</c:f>
              <c:numCache>
                <c:formatCode>0.00</c:formatCode>
                <c:ptCount val="9"/>
                <c:pt idx="0">
                  <c:v>35.736842105263158</c:v>
                </c:pt>
                <c:pt idx="1">
                  <c:v>33.666666666666664</c:v>
                </c:pt>
                <c:pt idx="2">
                  <c:v>34.388888888888886</c:v>
                </c:pt>
                <c:pt idx="3">
                  <c:v>24.5</c:v>
                </c:pt>
                <c:pt idx="4">
                  <c:v>39.478260869565219</c:v>
                </c:pt>
                <c:pt idx="5">
                  <c:v>34.846153846153847</c:v>
                </c:pt>
                <c:pt idx="6">
                  <c:v>29.210526315789473</c:v>
                </c:pt>
                <c:pt idx="7">
                  <c:v>33.176470588235297</c:v>
                </c:pt>
                <c:pt idx="8">
                  <c:v>40.1875</c:v>
                </c:pt>
              </c:numCache>
            </c:numRef>
          </c:val>
          <c:extLst>
            <c:ext xmlns:c16="http://schemas.microsoft.com/office/drawing/2014/chart" uri="{C3380CC4-5D6E-409C-BE32-E72D297353CC}">
              <c16:uniqueId val="{00000000-82B2-4B13-8875-01E88234B5FB}"/>
            </c:ext>
          </c:extLst>
        </c:ser>
        <c:dLbls>
          <c:showLegendKey val="0"/>
          <c:showVal val="0"/>
          <c:showCatName val="0"/>
          <c:showSerName val="0"/>
          <c:showPercent val="0"/>
          <c:showBubbleSize val="0"/>
        </c:dLbls>
        <c:axId val="177112848"/>
        <c:axId val="177111408"/>
      </c:areaChart>
      <c:catAx>
        <c:axId val="177112848"/>
        <c:scaling>
          <c:orientation val="minMax"/>
        </c:scaling>
        <c:delete val="1"/>
        <c:axPos val="b"/>
        <c:numFmt formatCode="General" sourceLinked="1"/>
        <c:majorTickMark val="out"/>
        <c:minorTickMark val="none"/>
        <c:tickLblPos val="nextTo"/>
        <c:crossAx val="177111408"/>
        <c:crosses val="autoZero"/>
        <c:auto val="1"/>
        <c:lblAlgn val="ctr"/>
        <c:lblOffset val="100"/>
        <c:noMultiLvlLbl val="0"/>
      </c:catAx>
      <c:valAx>
        <c:axId val="177111408"/>
        <c:scaling>
          <c:orientation val="minMax"/>
        </c:scaling>
        <c:delete val="1"/>
        <c:axPos val="l"/>
        <c:numFmt formatCode="0.00" sourceLinked="1"/>
        <c:majorTickMark val="none"/>
        <c:minorTickMark val="none"/>
        <c:tickLblPos val="nextTo"/>
        <c:crossAx val="177112848"/>
        <c:crosses val="autoZero"/>
        <c:crossBetween val="midCat"/>
      </c:valAx>
      <c:spPr>
        <a:solidFill>
          <a:schemeClr val="bg1">
            <a:lumMod val="85000"/>
          </a:schemeClr>
        </a:solid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795821223011102E-3"/>
          <c:y val="0"/>
          <c:w val="0.98464611415098557"/>
          <c:h val="0.96298837328541365"/>
        </c:manualLayout>
      </c:layout>
      <c:areaChart>
        <c:grouping val="standard"/>
        <c:varyColors val="0"/>
        <c:ser>
          <c:idx val="0"/>
          <c:order val="0"/>
          <c:tx>
            <c:strRef>
              <c:f>'Pivot Report'!$J$3</c:f>
              <c:strCache>
                <c:ptCount val="1"/>
                <c:pt idx="0">
                  <c:v>Total</c:v>
                </c:pt>
              </c:strCache>
            </c:strRef>
          </c:tx>
          <c:spPr>
            <a:solidFill>
              <a:schemeClr val="accent1"/>
            </a:solidFill>
            <a:ln>
              <a:noFill/>
            </a:ln>
            <a:effectLst/>
          </c:spPr>
          <c:cat>
            <c:strRef>
              <c:f>'Pivot Report'!$I$4:$I$13</c:f>
              <c:strCache>
                <c:ptCount val="9"/>
                <c:pt idx="0">
                  <c:v>4-May</c:v>
                </c:pt>
                <c:pt idx="1">
                  <c:v>5-May</c:v>
                </c:pt>
                <c:pt idx="2">
                  <c:v>6-May</c:v>
                </c:pt>
                <c:pt idx="3">
                  <c:v>7-May</c:v>
                </c:pt>
                <c:pt idx="4">
                  <c:v>8-May</c:v>
                </c:pt>
                <c:pt idx="5">
                  <c:v>9-May</c:v>
                </c:pt>
                <c:pt idx="6">
                  <c:v>10-May</c:v>
                </c:pt>
                <c:pt idx="7">
                  <c:v>11-May</c:v>
                </c:pt>
                <c:pt idx="8">
                  <c:v>12-May</c:v>
                </c:pt>
              </c:strCache>
            </c:strRef>
          </c:cat>
          <c:val>
            <c:numRef>
              <c:f>'Pivot Report'!$J$4:$J$13</c:f>
              <c:numCache>
                <c:formatCode>0.00</c:formatCode>
                <c:ptCount val="9"/>
                <c:pt idx="0">
                  <c:v>5.5714285714285712</c:v>
                </c:pt>
                <c:pt idx="1">
                  <c:v>5.5</c:v>
                </c:pt>
                <c:pt idx="2">
                  <c:v>4.333333333333333</c:v>
                </c:pt>
                <c:pt idx="3">
                  <c:v>2</c:v>
                </c:pt>
                <c:pt idx="4">
                  <c:v>6.2</c:v>
                </c:pt>
                <c:pt idx="5">
                  <c:v>4</c:v>
                </c:pt>
                <c:pt idx="6">
                  <c:v>5.333333333333333</c:v>
                </c:pt>
                <c:pt idx="7">
                  <c:v>2.4285714285714284</c:v>
                </c:pt>
                <c:pt idx="8">
                  <c:v>2.875</c:v>
                </c:pt>
              </c:numCache>
            </c:numRef>
          </c:val>
          <c:extLst>
            <c:ext xmlns:c16="http://schemas.microsoft.com/office/drawing/2014/chart" uri="{C3380CC4-5D6E-409C-BE32-E72D297353CC}">
              <c16:uniqueId val="{00000000-5C4B-401D-BC1C-499979D4B144}"/>
            </c:ext>
          </c:extLst>
        </c:ser>
        <c:dLbls>
          <c:showLegendKey val="0"/>
          <c:showVal val="0"/>
          <c:showCatName val="0"/>
          <c:showSerName val="0"/>
          <c:showPercent val="0"/>
          <c:showBubbleSize val="0"/>
        </c:dLbls>
        <c:axId val="156028384"/>
        <c:axId val="156037504"/>
      </c:areaChart>
      <c:catAx>
        <c:axId val="156028384"/>
        <c:scaling>
          <c:orientation val="minMax"/>
        </c:scaling>
        <c:delete val="1"/>
        <c:axPos val="b"/>
        <c:numFmt formatCode="General" sourceLinked="1"/>
        <c:majorTickMark val="out"/>
        <c:minorTickMark val="none"/>
        <c:tickLblPos val="nextTo"/>
        <c:crossAx val="156037504"/>
        <c:crosses val="autoZero"/>
        <c:auto val="1"/>
        <c:lblAlgn val="ctr"/>
        <c:lblOffset val="100"/>
        <c:noMultiLvlLbl val="0"/>
      </c:catAx>
      <c:valAx>
        <c:axId val="15603750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6028384"/>
        <c:crosses val="autoZero"/>
        <c:crossBetween val="midCat"/>
      </c:valAx>
      <c:spPr>
        <a:solidFill>
          <a:schemeClr val="bg1">
            <a:lumMod val="8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854815278679576E-2"/>
          <c:y val="0"/>
          <c:w val="0.9891451847213204"/>
          <c:h val="0.74842519746048075"/>
        </c:manualLayout>
      </c:layout>
      <c:barChart>
        <c:barDir val="col"/>
        <c:grouping val="clustered"/>
        <c:varyColors val="0"/>
        <c:ser>
          <c:idx val="0"/>
          <c:order val="0"/>
          <c:tx>
            <c:strRef>
              <c:f>'Pivot Report'!$C$43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Report'!$B$44:$B$52</c:f>
              <c:strCache>
                <c:ptCount val="8"/>
                <c:pt idx="0">
                  <c:v>0-09</c:v>
                </c:pt>
                <c:pt idx="1">
                  <c:v>10-19</c:v>
                </c:pt>
                <c:pt idx="2">
                  <c:v>20-29</c:v>
                </c:pt>
                <c:pt idx="3">
                  <c:v>30-39</c:v>
                </c:pt>
                <c:pt idx="4">
                  <c:v>40-49</c:v>
                </c:pt>
                <c:pt idx="5">
                  <c:v>50-59</c:v>
                </c:pt>
                <c:pt idx="6">
                  <c:v>60-69</c:v>
                </c:pt>
                <c:pt idx="7">
                  <c:v>70-79</c:v>
                </c:pt>
              </c:strCache>
            </c:strRef>
          </c:cat>
          <c:val>
            <c:numRef>
              <c:f>'Pivot Report'!$C$44:$C$52</c:f>
              <c:numCache>
                <c:formatCode>0</c:formatCode>
                <c:ptCount val="8"/>
                <c:pt idx="0">
                  <c:v>23</c:v>
                </c:pt>
                <c:pt idx="1">
                  <c:v>20</c:v>
                </c:pt>
                <c:pt idx="2">
                  <c:v>22</c:v>
                </c:pt>
                <c:pt idx="3">
                  <c:v>16</c:v>
                </c:pt>
                <c:pt idx="4">
                  <c:v>22</c:v>
                </c:pt>
                <c:pt idx="5">
                  <c:v>15</c:v>
                </c:pt>
                <c:pt idx="6">
                  <c:v>16</c:v>
                </c:pt>
                <c:pt idx="7">
                  <c:v>17</c:v>
                </c:pt>
              </c:numCache>
            </c:numRef>
          </c:val>
          <c:extLst>
            <c:ext xmlns:c16="http://schemas.microsoft.com/office/drawing/2014/chart" uri="{C3380CC4-5D6E-409C-BE32-E72D297353CC}">
              <c16:uniqueId val="{00000000-4B2C-4ABE-8990-78033D378327}"/>
            </c:ext>
          </c:extLst>
        </c:ser>
        <c:dLbls>
          <c:showLegendKey val="0"/>
          <c:showVal val="0"/>
          <c:showCatName val="0"/>
          <c:showSerName val="0"/>
          <c:showPercent val="0"/>
          <c:showBubbleSize val="0"/>
        </c:dLbls>
        <c:gapWidth val="219"/>
        <c:overlap val="-27"/>
        <c:axId val="1993511967"/>
        <c:axId val="1993509567"/>
      </c:barChart>
      <c:catAx>
        <c:axId val="199351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509567"/>
        <c:crosses val="autoZero"/>
        <c:auto val="1"/>
        <c:lblAlgn val="ctr"/>
        <c:lblOffset val="100"/>
        <c:noMultiLvlLbl val="0"/>
      </c:catAx>
      <c:valAx>
        <c:axId val="1993509567"/>
        <c:scaling>
          <c:orientation val="minMax"/>
        </c:scaling>
        <c:delete val="1"/>
        <c:axPos val="l"/>
        <c:numFmt formatCode="0" sourceLinked="1"/>
        <c:majorTickMark val="none"/>
        <c:minorTickMark val="none"/>
        <c:tickLblPos val="nextTo"/>
        <c:crossAx val="1993511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1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421973687746929"/>
          <c:y val="0.13366076551385653"/>
          <c:w val="0.6660003493966189"/>
          <c:h val="0.68518467313235776"/>
        </c:manualLayout>
      </c:layout>
      <c:pieChart>
        <c:varyColors val="1"/>
        <c:ser>
          <c:idx val="0"/>
          <c:order val="0"/>
          <c:tx>
            <c:strRef>
              <c:f>'Pivot Report'!$C$54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53FC-4210-B681-4A8F73CE3C6D}"/>
              </c:ext>
            </c:extLst>
          </c:dPt>
          <c:dPt>
            <c:idx val="1"/>
            <c:bubble3D val="0"/>
            <c:spPr>
              <a:solidFill>
                <a:schemeClr val="accent2"/>
              </a:solidFill>
              <a:ln>
                <a:noFill/>
              </a:ln>
              <a:effectLst/>
            </c:spPr>
            <c:extLst>
              <c:ext xmlns:c16="http://schemas.microsoft.com/office/drawing/2014/chart" uri="{C3380CC4-5D6E-409C-BE32-E72D297353CC}">
                <c16:uniqueId val="{00000003-53FC-4210-B681-4A8F73CE3C6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Report'!$B$55:$B$57</c:f>
              <c:strCache>
                <c:ptCount val="2"/>
                <c:pt idx="0">
                  <c:v>Delay</c:v>
                </c:pt>
                <c:pt idx="1">
                  <c:v>Ontime</c:v>
                </c:pt>
              </c:strCache>
            </c:strRef>
          </c:cat>
          <c:val>
            <c:numRef>
              <c:f>'Pivot Report'!$C$55:$C$57</c:f>
              <c:numCache>
                <c:formatCode>0</c:formatCode>
                <c:ptCount val="2"/>
                <c:pt idx="0">
                  <c:v>87</c:v>
                </c:pt>
                <c:pt idx="1">
                  <c:v>64</c:v>
                </c:pt>
              </c:numCache>
            </c:numRef>
          </c:val>
          <c:extLst>
            <c:ext xmlns:c16="http://schemas.microsoft.com/office/drawing/2014/chart" uri="{C3380CC4-5D6E-409C-BE32-E72D297353CC}">
              <c16:uniqueId val="{00000004-53FC-4210-B681-4A8F73CE3C6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0443613686451179E-2"/>
          <c:y val="2.6305571821496811E-2"/>
          <c:w val="0.77035238001083117"/>
          <c:h val="0.135413282118999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Report!PivotTable12</c:name>
    <c:fmtId val="1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3956164145307864"/>
          <c:y val="0.17940847719248443"/>
          <c:w val="0.70706220169309553"/>
          <c:h val="0.71440568491825518"/>
        </c:manualLayout>
      </c:layout>
      <c:doughnutChart>
        <c:varyColors val="1"/>
        <c:ser>
          <c:idx val="0"/>
          <c:order val="0"/>
          <c:tx>
            <c:strRef>
              <c:f>'Pivot Report'!$C$60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2BB-4A5B-885A-E724ABE54A8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2BB-4A5B-885A-E724ABE54A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Report'!$B$61:$B$63</c:f>
              <c:strCache>
                <c:ptCount val="2"/>
                <c:pt idx="0">
                  <c:v>Female</c:v>
                </c:pt>
                <c:pt idx="1">
                  <c:v>Male</c:v>
                </c:pt>
              </c:strCache>
            </c:strRef>
          </c:cat>
          <c:val>
            <c:numRef>
              <c:f>'Pivot Report'!$C$61:$C$63</c:f>
              <c:numCache>
                <c:formatCode>0</c:formatCode>
                <c:ptCount val="2"/>
                <c:pt idx="0">
                  <c:v>80</c:v>
                </c:pt>
                <c:pt idx="1">
                  <c:v>71</c:v>
                </c:pt>
              </c:numCache>
            </c:numRef>
          </c:val>
          <c:extLst>
            <c:ext xmlns:c16="http://schemas.microsoft.com/office/drawing/2014/chart" uri="{C3380CC4-5D6E-409C-BE32-E72D297353CC}">
              <c16:uniqueId val="{00000004-52BB-4A5B-885A-E724ABE54A8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1.1820228176560903E-2"/>
          <c:y val="5.1504082822980461E-2"/>
          <c:w val="0.91212927998287507"/>
          <c:h val="0.108289696546552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91350562813648"/>
          <c:y val="2.1272978376101231E-2"/>
          <c:w val="0.61311843125535281"/>
          <c:h val="0.90427159730754447"/>
        </c:manualLayout>
      </c:layout>
      <c:barChart>
        <c:barDir val="bar"/>
        <c:grouping val="clustered"/>
        <c:varyColors val="0"/>
        <c:ser>
          <c:idx val="0"/>
          <c:order val="0"/>
          <c:tx>
            <c:strRef>
              <c:f>'Pivot Report'!$C$66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Report'!$B$67:$B$75</c:f>
              <c:strCache>
                <c:ptCount val="8"/>
                <c:pt idx="0">
                  <c:v>Renal</c:v>
                </c:pt>
                <c:pt idx="1">
                  <c:v>Neurology</c:v>
                </c:pt>
                <c:pt idx="2">
                  <c:v>Cardiology</c:v>
                </c:pt>
                <c:pt idx="3">
                  <c:v>Physiotherapy</c:v>
                </c:pt>
                <c:pt idx="4">
                  <c:v>Gastroenterology</c:v>
                </c:pt>
                <c:pt idx="5">
                  <c:v>Orthopedics</c:v>
                </c:pt>
                <c:pt idx="6">
                  <c:v>General Practice</c:v>
                </c:pt>
                <c:pt idx="7">
                  <c:v>None</c:v>
                </c:pt>
              </c:strCache>
            </c:strRef>
          </c:cat>
          <c:val>
            <c:numRef>
              <c:f>'Pivot Report'!$C$67:$C$75</c:f>
              <c:numCache>
                <c:formatCode>0</c:formatCode>
                <c:ptCount val="8"/>
                <c:pt idx="0">
                  <c:v>1</c:v>
                </c:pt>
                <c:pt idx="1">
                  <c:v>3</c:v>
                </c:pt>
                <c:pt idx="2">
                  <c:v>4</c:v>
                </c:pt>
                <c:pt idx="3">
                  <c:v>4</c:v>
                </c:pt>
                <c:pt idx="4">
                  <c:v>7</c:v>
                </c:pt>
                <c:pt idx="5">
                  <c:v>15</c:v>
                </c:pt>
                <c:pt idx="6">
                  <c:v>33</c:v>
                </c:pt>
                <c:pt idx="7">
                  <c:v>84</c:v>
                </c:pt>
              </c:numCache>
            </c:numRef>
          </c:val>
          <c:extLst>
            <c:ext xmlns:c16="http://schemas.microsoft.com/office/drawing/2014/chart" uri="{C3380CC4-5D6E-409C-BE32-E72D297353CC}">
              <c16:uniqueId val="{00000000-EC6F-447C-995B-7364BAAAEA75}"/>
            </c:ext>
          </c:extLst>
        </c:ser>
        <c:dLbls>
          <c:showLegendKey val="0"/>
          <c:showVal val="0"/>
          <c:showCatName val="0"/>
          <c:showSerName val="0"/>
          <c:showPercent val="0"/>
          <c:showBubbleSize val="0"/>
        </c:dLbls>
        <c:gapWidth val="80"/>
        <c:axId val="177102768"/>
        <c:axId val="177110928"/>
      </c:barChart>
      <c:catAx>
        <c:axId val="1771027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7110928"/>
        <c:crosses val="autoZero"/>
        <c:auto val="1"/>
        <c:lblAlgn val="ctr"/>
        <c:lblOffset val="100"/>
        <c:noMultiLvlLbl val="0"/>
      </c:catAx>
      <c:valAx>
        <c:axId val="177110928"/>
        <c:scaling>
          <c:orientation val="minMax"/>
        </c:scaling>
        <c:delete val="1"/>
        <c:axPos val="b"/>
        <c:numFmt formatCode="0" sourceLinked="1"/>
        <c:majorTickMark val="none"/>
        <c:minorTickMark val="none"/>
        <c:tickLblPos val="nextTo"/>
        <c:crossAx val="17710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971541943083887E-2"/>
          <c:y val="0.12113959510880234"/>
          <c:w val="0.98888888888888893"/>
          <c:h val="0.87886076525947288"/>
        </c:manualLayout>
      </c:layout>
      <c:areaChart>
        <c:grouping val="stacked"/>
        <c:varyColors val="0"/>
        <c:ser>
          <c:idx val="0"/>
          <c:order val="0"/>
          <c:tx>
            <c:strRef>
              <c:f>'Pivot Report'!$F$2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Report'!$E$3:$E$12</c:f>
              <c:strCache>
                <c:ptCount val="9"/>
                <c:pt idx="0">
                  <c:v>4-May</c:v>
                </c:pt>
                <c:pt idx="1">
                  <c:v>5-May</c:v>
                </c:pt>
                <c:pt idx="2">
                  <c:v>6-May</c:v>
                </c:pt>
                <c:pt idx="3">
                  <c:v>7-May</c:v>
                </c:pt>
                <c:pt idx="4">
                  <c:v>8-May</c:v>
                </c:pt>
                <c:pt idx="5">
                  <c:v>9-May</c:v>
                </c:pt>
                <c:pt idx="6">
                  <c:v>10-May</c:v>
                </c:pt>
                <c:pt idx="7">
                  <c:v>11-May</c:v>
                </c:pt>
                <c:pt idx="8">
                  <c:v>12-May</c:v>
                </c:pt>
              </c:strCache>
            </c:strRef>
          </c:cat>
          <c:val>
            <c:numRef>
              <c:f>'Pivot Report'!$F$3:$F$12</c:f>
              <c:numCache>
                <c:formatCode>0.00</c:formatCode>
                <c:ptCount val="9"/>
                <c:pt idx="0">
                  <c:v>35.736842105263158</c:v>
                </c:pt>
                <c:pt idx="1">
                  <c:v>33.666666666666664</c:v>
                </c:pt>
                <c:pt idx="2">
                  <c:v>34.388888888888886</c:v>
                </c:pt>
                <c:pt idx="3">
                  <c:v>24.5</c:v>
                </c:pt>
                <c:pt idx="4">
                  <c:v>39.478260869565219</c:v>
                </c:pt>
                <c:pt idx="5">
                  <c:v>34.846153846153847</c:v>
                </c:pt>
                <c:pt idx="6">
                  <c:v>29.210526315789473</c:v>
                </c:pt>
                <c:pt idx="7">
                  <c:v>33.176470588235297</c:v>
                </c:pt>
                <c:pt idx="8">
                  <c:v>40.1875</c:v>
                </c:pt>
              </c:numCache>
            </c:numRef>
          </c:val>
          <c:extLst>
            <c:ext xmlns:c16="http://schemas.microsoft.com/office/drawing/2014/chart" uri="{C3380CC4-5D6E-409C-BE32-E72D297353CC}">
              <c16:uniqueId val="{00000000-8ADE-4B1F-B7CB-410FBE99B8D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7112848"/>
        <c:axId val="177111408"/>
      </c:areaChart>
      <c:catAx>
        <c:axId val="1771128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7111408"/>
        <c:crosses val="autoZero"/>
        <c:auto val="1"/>
        <c:lblAlgn val="ctr"/>
        <c:lblOffset val="100"/>
        <c:noMultiLvlLbl val="0"/>
      </c:catAx>
      <c:valAx>
        <c:axId val="177111408"/>
        <c:scaling>
          <c:orientation val="minMax"/>
        </c:scaling>
        <c:delete val="1"/>
        <c:axPos val="l"/>
        <c:numFmt formatCode="0.00" sourceLinked="1"/>
        <c:majorTickMark val="out"/>
        <c:minorTickMark val="none"/>
        <c:tickLblPos val="nextTo"/>
        <c:crossAx val="177112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168987824896484E-2"/>
          <c:y val="0.17980842138322453"/>
          <c:w val="0.84977750502779292"/>
          <c:h val="0.44185566547771271"/>
        </c:manualLayout>
      </c:layout>
      <c:areaChart>
        <c:grouping val="standard"/>
        <c:varyColors val="0"/>
        <c:ser>
          <c:idx val="0"/>
          <c:order val="0"/>
          <c:tx>
            <c:strRef>
              <c:f>'Pivot Report'!$C$17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Report'!$B$18:$B$27</c:f>
              <c:strCache>
                <c:ptCount val="9"/>
                <c:pt idx="0">
                  <c:v>4-May</c:v>
                </c:pt>
                <c:pt idx="1">
                  <c:v>5-May</c:v>
                </c:pt>
                <c:pt idx="2">
                  <c:v>6-May</c:v>
                </c:pt>
                <c:pt idx="3">
                  <c:v>7-May</c:v>
                </c:pt>
                <c:pt idx="4">
                  <c:v>8-May</c:v>
                </c:pt>
                <c:pt idx="5">
                  <c:v>9-May</c:v>
                </c:pt>
                <c:pt idx="6">
                  <c:v>10-May</c:v>
                </c:pt>
                <c:pt idx="7">
                  <c:v>11-May</c:v>
                </c:pt>
                <c:pt idx="8">
                  <c:v>12-May</c:v>
                </c:pt>
              </c:strCache>
            </c:strRef>
          </c:cat>
          <c:val>
            <c:numRef>
              <c:f>'Pivot Report'!$C$18:$C$27</c:f>
              <c:numCache>
                <c:formatCode>General</c:formatCode>
                <c:ptCount val="9"/>
                <c:pt idx="0">
                  <c:v>19</c:v>
                </c:pt>
                <c:pt idx="1">
                  <c:v>18</c:v>
                </c:pt>
                <c:pt idx="2">
                  <c:v>18</c:v>
                </c:pt>
                <c:pt idx="3">
                  <c:v>8</c:v>
                </c:pt>
                <c:pt idx="4">
                  <c:v>23</c:v>
                </c:pt>
                <c:pt idx="5">
                  <c:v>13</c:v>
                </c:pt>
                <c:pt idx="6">
                  <c:v>19</c:v>
                </c:pt>
                <c:pt idx="7">
                  <c:v>17</c:v>
                </c:pt>
                <c:pt idx="8">
                  <c:v>16</c:v>
                </c:pt>
              </c:numCache>
            </c:numRef>
          </c:val>
          <c:extLst>
            <c:ext xmlns:c16="http://schemas.microsoft.com/office/drawing/2014/chart" uri="{C3380CC4-5D6E-409C-BE32-E72D297353CC}">
              <c16:uniqueId val="{00000000-1DB9-4F1A-9D72-C4650CAB505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43707823"/>
        <c:axId val="2143702543"/>
      </c:areaChart>
      <c:catAx>
        <c:axId val="21437078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43702543"/>
        <c:crosses val="autoZero"/>
        <c:auto val="1"/>
        <c:lblAlgn val="ctr"/>
        <c:lblOffset val="100"/>
        <c:noMultiLvlLbl val="0"/>
      </c:catAx>
      <c:valAx>
        <c:axId val="2143702543"/>
        <c:scaling>
          <c:orientation val="minMax"/>
        </c:scaling>
        <c:delete val="1"/>
        <c:axPos val="l"/>
        <c:numFmt formatCode="General" sourceLinked="1"/>
        <c:majorTickMark val="out"/>
        <c:minorTickMark val="none"/>
        <c:tickLblPos val="nextTo"/>
        <c:crossAx val="2143707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3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666799472968676E-2"/>
          <c:y val="0"/>
          <c:w val="0.96013644100080031"/>
          <c:h val="0.96298837328541365"/>
        </c:manualLayout>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Report'!$I$4:$I$13</c:f>
              <c:strCache>
                <c:ptCount val="9"/>
                <c:pt idx="0">
                  <c:v>4-May</c:v>
                </c:pt>
                <c:pt idx="1">
                  <c:v>5-May</c:v>
                </c:pt>
                <c:pt idx="2">
                  <c:v>6-May</c:v>
                </c:pt>
                <c:pt idx="3">
                  <c:v>7-May</c:v>
                </c:pt>
                <c:pt idx="4">
                  <c:v>8-May</c:v>
                </c:pt>
                <c:pt idx="5">
                  <c:v>9-May</c:v>
                </c:pt>
                <c:pt idx="6">
                  <c:v>10-May</c:v>
                </c:pt>
                <c:pt idx="7">
                  <c:v>11-May</c:v>
                </c:pt>
                <c:pt idx="8">
                  <c:v>12-May</c:v>
                </c:pt>
              </c:strCache>
            </c:strRef>
          </c:cat>
          <c:val>
            <c:numRef>
              <c:f>'Pivot Report'!$J$4:$J$13</c:f>
              <c:numCache>
                <c:formatCode>0.00</c:formatCode>
                <c:ptCount val="9"/>
                <c:pt idx="0">
                  <c:v>5.5714285714285712</c:v>
                </c:pt>
                <c:pt idx="1">
                  <c:v>5.5</c:v>
                </c:pt>
                <c:pt idx="2">
                  <c:v>4.333333333333333</c:v>
                </c:pt>
                <c:pt idx="3">
                  <c:v>2</c:v>
                </c:pt>
                <c:pt idx="4">
                  <c:v>6.2</c:v>
                </c:pt>
                <c:pt idx="5">
                  <c:v>4</c:v>
                </c:pt>
                <c:pt idx="6">
                  <c:v>5.333333333333333</c:v>
                </c:pt>
                <c:pt idx="7">
                  <c:v>2.4285714285714284</c:v>
                </c:pt>
                <c:pt idx="8">
                  <c:v>2.875</c:v>
                </c:pt>
              </c:numCache>
            </c:numRef>
          </c:val>
          <c:extLst>
            <c:ext xmlns:c16="http://schemas.microsoft.com/office/drawing/2014/chart" uri="{C3380CC4-5D6E-409C-BE32-E72D297353CC}">
              <c16:uniqueId val="{00000000-9FCA-4889-9403-1AA565AC550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6028384"/>
        <c:axId val="156037504"/>
      </c:areaChart>
      <c:catAx>
        <c:axId val="1560283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037504"/>
        <c:crosses val="autoZero"/>
        <c:auto val="1"/>
        <c:lblAlgn val="ctr"/>
        <c:lblOffset val="100"/>
        <c:noMultiLvlLbl val="0"/>
      </c:catAx>
      <c:valAx>
        <c:axId val="156037504"/>
        <c:scaling>
          <c:orientation val="minMax"/>
        </c:scaling>
        <c:delete val="1"/>
        <c:axPos val="l"/>
        <c:numFmt formatCode="0.00" sourceLinked="1"/>
        <c:majorTickMark val="out"/>
        <c:minorTickMark val="none"/>
        <c:tickLblPos val="nextTo"/>
        <c:crossAx val="156028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Satisfaction score daily trends'!A1"/></Relationships>
</file>

<file path=xl/drawings/_rels/drawing12.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1943100</xdr:colOff>
      <xdr:row>39</xdr:row>
      <xdr:rowOff>22860</xdr:rowOff>
    </xdr:from>
    <xdr:to>
      <xdr:col>4</xdr:col>
      <xdr:colOff>990600</xdr:colOff>
      <xdr:row>41</xdr:row>
      <xdr:rowOff>152400</xdr:rowOff>
    </xdr:to>
    <xdr:graphicFrame macro="">
      <xdr:nvGraphicFramePr>
        <xdr:cNvPr id="8" name="Chart 7">
          <a:extLst>
            <a:ext uri="{FF2B5EF4-FFF2-40B4-BE49-F238E27FC236}">
              <a16:creationId xmlns:a16="http://schemas.microsoft.com/office/drawing/2014/main" id="{675C24E6-20CA-4EF9-BEF0-FA5F43046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49306</xdr:colOff>
      <xdr:row>0</xdr:row>
      <xdr:rowOff>43525</xdr:rowOff>
    </xdr:from>
    <xdr:to>
      <xdr:col>4</xdr:col>
      <xdr:colOff>251012</xdr:colOff>
      <xdr:row>3</xdr:row>
      <xdr:rowOff>4233</xdr:rowOff>
    </xdr:to>
    <xdr:sp macro="" textlink="">
      <xdr:nvSpPr>
        <xdr:cNvPr id="2" name="Rectangle: Rounded Corners 1">
          <a:extLst>
            <a:ext uri="{FF2B5EF4-FFF2-40B4-BE49-F238E27FC236}">
              <a16:creationId xmlns:a16="http://schemas.microsoft.com/office/drawing/2014/main" id="{1FC2B253-4AE2-55E9-582D-ADED2F46E079}"/>
            </a:ext>
          </a:extLst>
        </xdr:cNvPr>
        <xdr:cNvSpPr/>
      </xdr:nvSpPr>
      <xdr:spPr>
        <a:xfrm>
          <a:off x="49306" y="43525"/>
          <a:ext cx="2640106" cy="506808"/>
        </a:xfrm>
        <a:prstGeom prst="roundRect">
          <a:avLst>
            <a:gd name="adj" fmla="val 829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313267</xdr:colOff>
      <xdr:row>0</xdr:row>
      <xdr:rowOff>40341</xdr:rowOff>
    </xdr:from>
    <xdr:to>
      <xdr:col>7</xdr:col>
      <xdr:colOff>42332</xdr:colOff>
      <xdr:row>3</xdr:row>
      <xdr:rowOff>4233</xdr:rowOff>
    </xdr:to>
    <xdr:sp macro="" textlink="">
      <xdr:nvSpPr>
        <xdr:cNvPr id="4" name="Rectangle: Rounded Corners 3">
          <a:extLst>
            <a:ext uri="{FF2B5EF4-FFF2-40B4-BE49-F238E27FC236}">
              <a16:creationId xmlns:a16="http://schemas.microsoft.com/office/drawing/2014/main" id="{D4D1E856-B2EB-04A6-38A9-01A244751F41}"/>
            </a:ext>
          </a:extLst>
        </xdr:cNvPr>
        <xdr:cNvSpPr/>
      </xdr:nvSpPr>
      <xdr:spPr>
        <a:xfrm>
          <a:off x="2751667" y="40341"/>
          <a:ext cx="1557865" cy="509992"/>
        </a:xfrm>
        <a:prstGeom prst="roundRect">
          <a:avLst>
            <a:gd name="adj" fmla="val 4558"/>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76200</xdr:colOff>
      <xdr:row>0</xdr:row>
      <xdr:rowOff>40340</xdr:rowOff>
    </xdr:from>
    <xdr:to>
      <xdr:col>9</xdr:col>
      <xdr:colOff>46567</xdr:colOff>
      <xdr:row>6</xdr:row>
      <xdr:rowOff>112058</xdr:rowOff>
    </xdr:to>
    <xdr:sp macro="" textlink="">
      <xdr:nvSpPr>
        <xdr:cNvPr id="5" name="Rectangle: Rounded Corners 4">
          <a:extLst>
            <a:ext uri="{FF2B5EF4-FFF2-40B4-BE49-F238E27FC236}">
              <a16:creationId xmlns:a16="http://schemas.microsoft.com/office/drawing/2014/main" id="{F9C940EB-512E-813B-5A82-7E51218CF896}"/>
            </a:ext>
          </a:extLst>
        </xdr:cNvPr>
        <xdr:cNvSpPr/>
      </xdr:nvSpPr>
      <xdr:spPr>
        <a:xfrm>
          <a:off x="4343400" y="40340"/>
          <a:ext cx="1189567" cy="1163918"/>
        </a:xfrm>
        <a:prstGeom prst="roundRect">
          <a:avLst>
            <a:gd name="adj" fmla="val 4531"/>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54038</xdr:colOff>
      <xdr:row>3</xdr:row>
      <xdr:rowOff>59267</xdr:rowOff>
    </xdr:from>
    <xdr:to>
      <xdr:col>1</xdr:col>
      <xdr:colOff>100013</xdr:colOff>
      <xdr:row>20</xdr:row>
      <xdr:rowOff>0</xdr:rowOff>
    </xdr:to>
    <xdr:sp macro="" textlink="">
      <xdr:nvSpPr>
        <xdr:cNvPr id="7" name="Rectangle: Rounded Corners 6">
          <a:extLst>
            <a:ext uri="{FF2B5EF4-FFF2-40B4-BE49-F238E27FC236}">
              <a16:creationId xmlns:a16="http://schemas.microsoft.com/office/drawing/2014/main" id="{B59F757D-DBA6-7C4F-0287-6C40E06A12A9}"/>
            </a:ext>
          </a:extLst>
        </xdr:cNvPr>
        <xdr:cNvSpPr/>
      </xdr:nvSpPr>
      <xdr:spPr>
        <a:xfrm>
          <a:off x="54038" y="621242"/>
          <a:ext cx="655575" cy="3017308"/>
        </a:xfrm>
        <a:prstGeom prst="roundRect">
          <a:avLst>
            <a:gd name="adj" fmla="val 246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174811</xdr:colOff>
      <xdr:row>3</xdr:row>
      <xdr:rowOff>76696</xdr:rowOff>
    </xdr:from>
    <xdr:to>
      <xdr:col>3</xdr:col>
      <xdr:colOff>66397</xdr:colOff>
      <xdr:row>7</xdr:row>
      <xdr:rowOff>160866</xdr:rowOff>
    </xdr:to>
    <xdr:sp macro="" textlink="">
      <xdr:nvSpPr>
        <xdr:cNvPr id="8" name="Rectangle: Rounded Corners 7">
          <a:extLst>
            <a:ext uri="{FF2B5EF4-FFF2-40B4-BE49-F238E27FC236}">
              <a16:creationId xmlns:a16="http://schemas.microsoft.com/office/drawing/2014/main" id="{8FA1C3CD-A3DE-4643-472A-632EB493BAE7}"/>
            </a:ext>
          </a:extLst>
        </xdr:cNvPr>
        <xdr:cNvSpPr/>
      </xdr:nvSpPr>
      <xdr:spPr>
        <a:xfrm>
          <a:off x="784411" y="638671"/>
          <a:ext cx="1110786" cy="808070"/>
        </a:xfrm>
        <a:prstGeom prst="roundRect">
          <a:avLst>
            <a:gd name="adj" fmla="val 47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146095</xdr:colOff>
      <xdr:row>3</xdr:row>
      <xdr:rowOff>76200</xdr:rowOff>
    </xdr:from>
    <xdr:to>
      <xdr:col>5</xdr:col>
      <xdr:colOff>37681</xdr:colOff>
      <xdr:row>7</xdr:row>
      <xdr:rowOff>156633</xdr:rowOff>
    </xdr:to>
    <xdr:sp macro="" textlink="">
      <xdr:nvSpPr>
        <xdr:cNvPr id="12" name="Rectangle: Rounded Corners 11">
          <a:extLst>
            <a:ext uri="{FF2B5EF4-FFF2-40B4-BE49-F238E27FC236}">
              <a16:creationId xmlns:a16="http://schemas.microsoft.com/office/drawing/2014/main" id="{EFDD6F71-8FE3-8C0E-6624-747094B4075C}"/>
            </a:ext>
          </a:extLst>
        </xdr:cNvPr>
        <xdr:cNvSpPr/>
      </xdr:nvSpPr>
      <xdr:spPr>
        <a:xfrm>
          <a:off x="1974895" y="622300"/>
          <a:ext cx="1110786" cy="808566"/>
        </a:xfrm>
        <a:prstGeom prst="roundRect">
          <a:avLst>
            <a:gd name="adj" fmla="val 533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117377</xdr:colOff>
      <xdr:row>3</xdr:row>
      <xdr:rowOff>63500</xdr:rowOff>
    </xdr:from>
    <xdr:to>
      <xdr:col>7</xdr:col>
      <xdr:colOff>21166</xdr:colOff>
      <xdr:row>7</xdr:row>
      <xdr:rowOff>148167</xdr:rowOff>
    </xdr:to>
    <xdr:sp macro="" textlink="">
      <xdr:nvSpPr>
        <xdr:cNvPr id="13" name="Rectangle: Rounded Corners 12">
          <a:extLst>
            <a:ext uri="{FF2B5EF4-FFF2-40B4-BE49-F238E27FC236}">
              <a16:creationId xmlns:a16="http://schemas.microsoft.com/office/drawing/2014/main" id="{524B21D1-0515-9CFA-5B29-41CD06C3ED08}"/>
            </a:ext>
          </a:extLst>
        </xdr:cNvPr>
        <xdr:cNvSpPr/>
      </xdr:nvSpPr>
      <xdr:spPr>
        <a:xfrm>
          <a:off x="3165377" y="609600"/>
          <a:ext cx="1122989" cy="812800"/>
        </a:xfrm>
        <a:prstGeom prst="roundRect">
          <a:avLst>
            <a:gd name="adj" fmla="val 4206"/>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133876</xdr:colOff>
      <xdr:row>8</xdr:row>
      <xdr:rowOff>44980</xdr:rowOff>
    </xdr:from>
    <xdr:to>
      <xdr:col>7</xdr:col>
      <xdr:colOff>42863</xdr:colOff>
      <xdr:row>10</xdr:row>
      <xdr:rowOff>166688</xdr:rowOff>
    </xdr:to>
    <xdr:sp macro="" textlink="">
      <xdr:nvSpPr>
        <xdr:cNvPr id="27" name="Rectangle: Rounded Corners 26">
          <a:extLst>
            <a:ext uri="{FF2B5EF4-FFF2-40B4-BE49-F238E27FC236}">
              <a16:creationId xmlns:a16="http://schemas.microsoft.com/office/drawing/2014/main" id="{070AF62A-424B-C9D6-34E7-350000DD0451}"/>
            </a:ext>
          </a:extLst>
        </xdr:cNvPr>
        <xdr:cNvSpPr/>
      </xdr:nvSpPr>
      <xdr:spPr>
        <a:xfrm>
          <a:off x="743476" y="1511830"/>
          <a:ext cx="3566587" cy="483658"/>
        </a:xfrm>
        <a:prstGeom prst="roundRect">
          <a:avLst>
            <a:gd name="adj" fmla="val 482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126998</xdr:colOff>
      <xdr:row>11</xdr:row>
      <xdr:rowOff>42864</xdr:rowOff>
    </xdr:from>
    <xdr:to>
      <xdr:col>7</xdr:col>
      <xdr:colOff>71438</xdr:colOff>
      <xdr:row>20</xdr:row>
      <xdr:rowOff>9525</xdr:rowOff>
    </xdr:to>
    <xdr:sp macro="" textlink="">
      <xdr:nvSpPr>
        <xdr:cNvPr id="28" name="Rectangle: Rounded Corners 27">
          <a:extLst>
            <a:ext uri="{FF2B5EF4-FFF2-40B4-BE49-F238E27FC236}">
              <a16:creationId xmlns:a16="http://schemas.microsoft.com/office/drawing/2014/main" id="{B397FDC8-1B63-BC36-7618-89999E93041F}"/>
            </a:ext>
          </a:extLst>
        </xdr:cNvPr>
        <xdr:cNvSpPr/>
      </xdr:nvSpPr>
      <xdr:spPr>
        <a:xfrm>
          <a:off x="736598" y="2052639"/>
          <a:ext cx="3602040" cy="1595436"/>
        </a:xfrm>
        <a:prstGeom prst="roundRect">
          <a:avLst>
            <a:gd name="adj" fmla="val 246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80434</xdr:colOff>
      <xdr:row>0</xdr:row>
      <xdr:rowOff>40340</xdr:rowOff>
    </xdr:from>
    <xdr:to>
      <xdr:col>11</xdr:col>
      <xdr:colOff>35860</xdr:colOff>
      <xdr:row>6</xdr:row>
      <xdr:rowOff>112058</xdr:rowOff>
    </xdr:to>
    <xdr:sp macro="" textlink="">
      <xdr:nvSpPr>
        <xdr:cNvPr id="29" name="Rectangle: Rounded Corners 28">
          <a:extLst>
            <a:ext uri="{FF2B5EF4-FFF2-40B4-BE49-F238E27FC236}">
              <a16:creationId xmlns:a16="http://schemas.microsoft.com/office/drawing/2014/main" id="{7D075A82-3F3C-0FBC-F8B5-22B9DA404D99}"/>
            </a:ext>
          </a:extLst>
        </xdr:cNvPr>
        <xdr:cNvSpPr/>
      </xdr:nvSpPr>
      <xdr:spPr>
        <a:xfrm>
          <a:off x="5566834" y="40340"/>
          <a:ext cx="1174626" cy="1163918"/>
        </a:xfrm>
        <a:prstGeom prst="roundRect">
          <a:avLst>
            <a:gd name="adj" fmla="val 4531"/>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93134</xdr:colOff>
      <xdr:row>6</xdr:row>
      <xdr:rowOff>150407</xdr:rowOff>
    </xdr:from>
    <xdr:to>
      <xdr:col>11</xdr:col>
      <xdr:colOff>35860</xdr:colOff>
      <xdr:row>20</xdr:row>
      <xdr:rowOff>9525</xdr:rowOff>
    </xdr:to>
    <xdr:sp macro="" textlink="">
      <xdr:nvSpPr>
        <xdr:cNvPr id="41" name="Rectangle: Rounded Corners 40">
          <a:extLst>
            <a:ext uri="{FF2B5EF4-FFF2-40B4-BE49-F238E27FC236}">
              <a16:creationId xmlns:a16="http://schemas.microsoft.com/office/drawing/2014/main" id="{889CFD08-7847-063C-E2AD-3240E3F387C1}"/>
            </a:ext>
          </a:extLst>
        </xdr:cNvPr>
        <xdr:cNvSpPr/>
      </xdr:nvSpPr>
      <xdr:spPr>
        <a:xfrm>
          <a:off x="4360334" y="1255307"/>
          <a:ext cx="2381126" cy="2392768"/>
        </a:xfrm>
        <a:prstGeom prst="roundRect">
          <a:avLst>
            <a:gd name="adj" fmla="val 4531"/>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241299</xdr:colOff>
      <xdr:row>1</xdr:row>
      <xdr:rowOff>38100</xdr:rowOff>
    </xdr:from>
    <xdr:to>
      <xdr:col>4</xdr:col>
      <xdr:colOff>207432</xdr:colOff>
      <xdr:row>2</xdr:row>
      <xdr:rowOff>97366</xdr:rowOff>
    </xdr:to>
    <xdr:sp macro="" textlink="">
      <xdr:nvSpPr>
        <xdr:cNvPr id="44" name="TextBox 43">
          <a:extLst>
            <a:ext uri="{FF2B5EF4-FFF2-40B4-BE49-F238E27FC236}">
              <a16:creationId xmlns:a16="http://schemas.microsoft.com/office/drawing/2014/main" id="{FB51E28B-FAF4-2582-0D54-59A6CFD5201A}"/>
            </a:ext>
          </a:extLst>
        </xdr:cNvPr>
        <xdr:cNvSpPr txBox="1"/>
      </xdr:nvSpPr>
      <xdr:spPr>
        <a:xfrm>
          <a:off x="241299" y="220133"/>
          <a:ext cx="2404533"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r"/>
          <a:r>
            <a:rPr lang="en-US" sz="1100"/>
            <a:t>       Hospital Emergency Room Dashboard</a:t>
          </a:r>
        </a:p>
      </xdr:txBody>
    </xdr:sp>
    <xdr:clientData/>
  </xdr:twoCellAnchor>
  <xdr:twoCellAnchor editAs="oneCell">
    <xdr:from>
      <xdr:col>0</xdr:col>
      <xdr:colOff>97367</xdr:colOff>
      <xdr:row>0</xdr:row>
      <xdr:rowOff>143933</xdr:rowOff>
    </xdr:from>
    <xdr:to>
      <xdr:col>0</xdr:col>
      <xdr:colOff>495301</xdr:colOff>
      <xdr:row>2</xdr:row>
      <xdr:rowOff>114300</xdr:rowOff>
    </xdr:to>
    <xdr:pic>
      <xdr:nvPicPr>
        <xdr:cNvPr id="49" name="Picture 48">
          <a:extLst>
            <a:ext uri="{FF2B5EF4-FFF2-40B4-BE49-F238E27FC236}">
              <a16:creationId xmlns:a16="http://schemas.microsoft.com/office/drawing/2014/main" id="{15E9EFCB-0CB7-21C3-1DBD-26CF831868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193" t="12442" r="22907" b="13181"/>
        <a:stretch>
          <a:fillRect/>
        </a:stretch>
      </xdr:blipFill>
      <xdr:spPr>
        <a:xfrm>
          <a:off x="97367" y="143933"/>
          <a:ext cx="397934" cy="334434"/>
        </a:xfrm>
        <a:prstGeom prst="rect">
          <a:avLst/>
        </a:prstGeom>
      </xdr:spPr>
    </xdr:pic>
    <xdr:clientData/>
  </xdr:twoCellAnchor>
  <xdr:twoCellAnchor editAs="absolute">
    <xdr:from>
      <xdr:col>1</xdr:col>
      <xdr:colOff>194732</xdr:colOff>
      <xdr:row>2</xdr:row>
      <xdr:rowOff>29633</xdr:rowOff>
    </xdr:from>
    <xdr:to>
      <xdr:col>3</xdr:col>
      <xdr:colOff>16933</xdr:colOff>
      <xdr:row>2</xdr:row>
      <xdr:rowOff>177800</xdr:rowOff>
    </xdr:to>
    <xdr:sp macro="" textlink="">
      <xdr:nvSpPr>
        <xdr:cNvPr id="51" name="TextBox 50">
          <a:extLst>
            <a:ext uri="{FF2B5EF4-FFF2-40B4-BE49-F238E27FC236}">
              <a16:creationId xmlns:a16="http://schemas.microsoft.com/office/drawing/2014/main" id="{E95B65FC-9E94-FA64-B5F0-4629D87E5985}"/>
            </a:ext>
          </a:extLst>
        </xdr:cNvPr>
        <xdr:cNvSpPr txBox="1"/>
      </xdr:nvSpPr>
      <xdr:spPr>
        <a:xfrm>
          <a:off x="804332" y="393700"/>
          <a:ext cx="1041401" cy="14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Monthly Report       </a:t>
          </a:r>
        </a:p>
      </xdr:txBody>
    </xdr:sp>
    <xdr:clientData/>
  </xdr:twoCellAnchor>
  <xdr:twoCellAnchor editAs="absolute">
    <xdr:from>
      <xdr:col>1</xdr:col>
      <xdr:colOff>184336</xdr:colOff>
      <xdr:row>4</xdr:row>
      <xdr:rowOff>145520</xdr:rowOff>
    </xdr:from>
    <xdr:to>
      <xdr:col>3</xdr:col>
      <xdr:colOff>64558</xdr:colOff>
      <xdr:row>5</xdr:row>
      <xdr:rowOff>158220</xdr:rowOff>
    </xdr:to>
    <xdr:sp macro="" textlink="">
      <xdr:nvSpPr>
        <xdr:cNvPr id="52" name="TextBox 51">
          <a:extLst>
            <a:ext uri="{FF2B5EF4-FFF2-40B4-BE49-F238E27FC236}">
              <a16:creationId xmlns:a16="http://schemas.microsoft.com/office/drawing/2014/main" id="{C9B4DA82-4E78-4AB8-B919-29C22166882D}"/>
            </a:ext>
          </a:extLst>
        </xdr:cNvPr>
        <xdr:cNvSpPr txBox="1"/>
      </xdr:nvSpPr>
      <xdr:spPr>
        <a:xfrm>
          <a:off x="793936" y="888470"/>
          <a:ext cx="1099422" cy="19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solidFill>
                <a:schemeClr val="dk1"/>
              </a:solidFill>
              <a:latin typeface="+mn-lt"/>
              <a:ea typeface="+mn-ea"/>
              <a:cs typeface="+mn-cs"/>
            </a:rPr>
            <a:t>No. of Patients      </a:t>
          </a:r>
        </a:p>
      </xdr:txBody>
    </xdr:sp>
    <xdr:clientData/>
  </xdr:twoCellAnchor>
  <xdr:twoCellAnchor editAs="absolute">
    <xdr:from>
      <xdr:col>1</xdr:col>
      <xdr:colOff>169333</xdr:colOff>
      <xdr:row>3</xdr:row>
      <xdr:rowOff>135468</xdr:rowOff>
    </xdr:from>
    <xdr:to>
      <xdr:col>3</xdr:col>
      <xdr:colOff>63500</xdr:colOff>
      <xdr:row>4</xdr:row>
      <xdr:rowOff>131234</xdr:rowOff>
    </xdr:to>
    <xdr:sp macro="" textlink="'Pivot Report'!B4">
      <xdr:nvSpPr>
        <xdr:cNvPr id="53" name="TextBox 52">
          <a:extLst>
            <a:ext uri="{FF2B5EF4-FFF2-40B4-BE49-F238E27FC236}">
              <a16:creationId xmlns:a16="http://schemas.microsoft.com/office/drawing/2014/main" id="{BEFF17C6-0BDB-6777-A9AF-FB7FAE28AE85}"/>
            </a:ext>
          </a:extLst>
        </xdr:cNvPr>
        <xdr:cNvSpPr txBox="1"/>
      </xdr:nvSpPr>
      <xdr:spPr>
        <a:xfrm>
          <a:off x="778933" y="698501"/>
          <a:ext cx="1113367"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631C170-8A0B-406A-A7AC-B31F78025A16}" type="TxLink">
            <a:rPr lang="en-US" sz="1100" b="0" i="0" u="none" strike="noStrike">
              <a:solidFill>
                <a:srgbClr val="000000"/>
              </a:solidFill>
              <a:latin typeface="Aptos Narrow"/>
            </a:rPr>
            <a:pPr algn="ctr"/>
            <a:t>151</a:t>
          </a:fld>
          <a:endParaRPr lang="en-US" sz="1100"/>
        </a:p>
      </xdr:txBody>
    </xdr:sp>
    <xdr:clientData/>
  </xdr:twoCellAnchor>
  <xdr:twoCellAnchor editAs="absolute">
    <xdr:from>
      <xdr:col>3</xdr:col>
      <xdr:colOff>136180</xdr:colOff>
      <xdr:row>4</xdr:row>
      <xdr:rowOff>161925</xdr:rowOff>
    </xdr:from>
    <xdr:to>
      <xdr:col>5</xdr:col>
      <xdr:colOff>57149</xdr:colOff>
      <xdr:row>5</xdr:row>
      <xdr:rowOff>152399</xdr:rowOff>
    </xdr:to>
    <xdr:sp macro="" textlink="">
      <xdr:nvSpPr>
        <xdr:cNvPr id="54" name="TextBox 53">
          <a:extLst>
            <a:ext uri="{FF2B5EF4-FFF2-40B4-BE49-F238E27FC236}">
              <a16:creationId xmlns:a16="http://schemas.microsoft.com/office/drawing/2014/main" id="{6C4FD8D4-2653-0AD9-27BB-FB35950B81B2}"/>
            </a:ext>
          </a:extLst>
        </xdr:cNvPr>
        <xdr:cNvSpPr txBox="1"/>
      </xdr:nvSpPr>
      <xdr:spPr>
        <a:xfrm>
          <a:off x="1964980" y="904875"/>
          <a:ext cx="1140169"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l"/>
          <a:r>
            <a:rPr lang="en-US" sz="900">
              <a:solidFill>
                <a:schemeClr val="dk1"/>
              </a:solidFill>
              <a:latin typeface="+mn-lt"/>
              <a:ea typeface="+mn-ea"/>
              <a:cs typeface="+mn-cs"/>
            </a:rPr>
            <a:t>     Average Wait Time       </a:t>
          </a:r>
        </a:p>
      </xdr:txBody>
    </xdr:sp>
    <xdr:clientData/>
  </xdr:twoCellAnchor>
  <xdr:twoCellAnchor editAs="absolute">
    <xdr:from>
      <xdr:col>3</xdr:col>
      <xdr:colOff>135466</xdr:colOff>
      <xdr:row>3</xdr:row>
      <xdr:rowOff>135468</xdr:rowOff>
    </xdr:from>
    <xdr:to>
      <xdr:col>5</xdr:col>
      <xdr:colOff>29633</xdr:colOff>
      <xdr:row>4</xdr:row>
      <xdr:rowOff>131234</xdr:rowOff>
    </xdr:to>
    <xdr:sp macro="" textlink="'Pivot Report'!B9">
      <xdr:nvSpPr>
        <xdr:cNvPr id="55" name="TextBox 54">
          <a:extLst>
            <a:ext uri="{FF2B5EF4-FFF2-40B4-BE49-F238E27FC236}">
              <a16:creationId xmlns:a16="http://schemas.microsoft.com/office/drawing/2014/main" id="{A06C6ADC-0924-2AEC-3809-2D784902DB6F}"/>
            </a:ext>
          </a:extLst>
        </xdr:cNvPr>
        <xdr:cNvSpPr txBox="1"/>
      </xdr:nvSpPr>
      <xdr:spPr>
        <a:xfrm>
          <a:off x="1964266" y="698501"/>
          <a:ext cx="1113367"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425E971-04F7-4069-BF0A-C5180917B2CB}" type="TxLink">
            <a:rPr lang="en-US" sz="1100" b="0" i="0" u="none" strike="noStrike">
              <a:solidFill>
                <a:srgbClr val="000000"/>
              </a:solidFill>
              <a:latin typeface="Aptos Narrow"/>
            </a:rPr>
            <a:pPr algn="ctr"/>
            <a:t>34.59</a:t>
          </a:fld>
          <a:endParaRPr lang="en-US" sz="1100"/>
        </a:p>
      </xdr:txBody>
    </xdr:sp>
    <xdr:clientData/>
  </xdr:twoCellAnchor>
  <xdr:twoCellAnchor editAs="absolute">
    <xdr:from>
      <xdr:col>5</xdr:col>
      <xdr:colOff>118533</xdr:colOff>
      <xdr:row>4</xdr:row>
      <xdr:rowOff>169333</xdr:rowOff>
    </xdr:from>
    <xdr:to>
      <xdr:col>7</xdr:col>
      <xdr:colOff>21167</xdr:colOff>
      <xdr:row>6</xdr:row>
      <xdr:rowOff>80434</xdr:rowOff>
    </xdr:to>
    <xdr:sp macro="" textlink="">
      <xdr:nvSpPr>
        <xdr:cNvPr id="56" name="TextBox 55">
          <a:extLst>
            <a:ext uri="{FF2B5EF4-FFF2-40B4-BE49-F238E27FC236}">
              <a16:creationId xmlns:a16="http://schemas.microsoft.com/office/drawing/2014/main" id="{FF507773-E1D8-FF79-4871-A83DF5DCAC2F}"/>
            </a:ext>
          </a:extLst>
        </xdr:cNvPr>
        <xdr:cNvSpPr txBox="1"/>
      </xdr:nvSpPr>
      <xdr:spPr>
        <a:xfrm>
          <a:off x="3166533" y="914400"/>
          <a:ext cx="1121834"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900"/>
            <a:t>Patient Satisfactio</a:t>
          </a:r>
          <a:r>
            <a:rPr lang="en-US" sz="900" baseline="0"/>
            <a:t> score </a:t>
          </a:r>
          <a:r>
            <a:rPr lang="en-US" sz="900"/>
            <a:t>     </a:t>
          </a:r>
        </a:p>
      </xdr:txBody>
    </xdr:sp>
    <xdr:clientData/>
  </xdr:twoCellAnchor>
  <xdr:twoCellAnchor editAs="absolute">
    <xdr:from>
      <xdr:col>5</xdr:col>
      <xdr:colOff>101599</xdr:colOff>
      <xdr:row>3</xdr:row>
      <xdr:rowOff>135468</xdr:rowOff>
    </xdr:from>
    <xdr:to>
      <xdr:col>6</xdr:col>
      <xdr:colOff>605366</xdr:colOff>
      <xdr:row>4</xdr:row>
      <xdr:rowOff>131234</xdr:rowOff>
    </xdr:to>
    <xdr:sp macro="" textlink="'Pivot Report'!B14">
      <xdr:nvSpPr>
        <xdr:cNvPr id="57" name="TextBox 56">
          <a:extLst>
            <a:ext uri="{FF2B5EF4-FFF2-40B4-BE49-F238E27FC236}">
              <a16:creationId xmlns:a16="http://schemas.microsoft.com/office/drawing/2014/main" id="{48B5FDCA-0E4A-570B-E0AC-54C2EC3388F8}"/>
            </a:ext>
          </a:extLst>
        </xdr:cNvPr>
        <xdr:cNvSpPr txBox="1"/>
      </xdr:nvSpPr>
      <xdr:spPr>
        <a:xfrm>
          <a:off x="3149599" y="698501"/>
          <a:ext cx="1113367"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1BC4F85-61FB-4CAD-8033-74294C44D4BC}" type="TxLink">
            <a:rPr lang="en-US" sz="1100" b="0" i="0" u="none" strike="noStrike">
              <a:solidFill>
                <a:srgbClr val="000000"/>
              </a:solidFill>
              <a:latin typeface="Aptos Narrow"/>
            </a:rPr>
            <a:pPr algn="ctr"/>
            <a:t>4.23</a:t>
          </a:fld>
          <a:endParaRPr lang="en-US" sz="1100"/>
        </a:p>
      </xdr:txBody>
    </xdr:sp>
    <xdr:clientData/>
  </xdr:twoCellAnchor>
  <xdr:twoCellAnchor editAs="oneCell">
    <xdr:from>
      <xdr:col>2</xdr:col>
      <xdr:colOff>334433</xdr:colOff>
      <xdr:row>3</xdr:row>
      <xdr:rowOff>71967</xdr:rowOff>
    </xdr:from>
    <xdr:to>
      <xdr:col>3</xdr:col>
      <xdr:colOff>12700</xdr:colOff>
      <xdr:row>4</xdr:row>
      <xdr:rowOff>177800</xdr:rowOff>
    </xdr:to>
    <xdr:pic>
      <xdr:nvPicPr>
        <xdr:cNvPr id="61" name="Graphic 60" descr="Users with solid fill">
          <a:extLst>
            <a:ext uri="{FF2B5EF4-FFF2-40B4-BE49-F238E27FC236}">
              <a16:creationId xmlns:a16="http://schemas.microsoft.com/office/drawing/2014/main" id="{C6450BD9-E3DD-570C-8412-5E99D99B25A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53633" y="635000"/>
          <a:ext cx="287867" cy="287867"/>
        </a:xfrm>
        <a:prstGeom prst="rect">
          <a:avLst/>
        </a:prstGeom>
      </xdr:spPr>
    </xdr:pic>
    <xdr:clientData/>
  </xdr:twoCellAnchor>
  <xdr:twoCellAnchor editAs="oneCell">
    <xdr:from>
      <xdr:col>4</xdr:col>
      <xdr:colOff>414338</xdr:colOff>
      <xdr:row>3</xdr:row>
      <xdr:rowOff>93134</xdr:rowOff>
    </xdr:from>
    <xdr:to>
      <xdr:col>5</xdr:col>
      <xdr:colOff>42333</xdr:colOff>
      <xdr:row>4</xdr:row>
      <xdr:rowOff>148780</xdr:rowOff>
    </xdr:to>
    <xdr:pic>
      <xdr:nvPicPr>
        <xdr:cNvPr id="63" name="Graphic 62" descr="Hourglass 30% with solid fill">
          <a:extLst>
            <a:ext uri="{FF2B5EF4-FFF2-40B4-BE49-F238E27FC236}">
              <a16:creationId xmlns:a16="http://schemas.microsoft.com/office/drawing/2014/main" id="{39703A81-8EC2-D5CA-FCB6-EAE5AB00F4E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52738" y="655109"/>
          <a:ext cx="237595" cy="236621"/>
        </a:xfrm>
        <a:prstGeom prst="rect">
          <a:avLst/>
        </a:prstGeom>
      </xdr:spPr>
    </xdr:pic>
    <xdr:clientData/>
  </xdr:twoCellAnchor>
  <xdr:twoCellAnchor editAs="oneCell">
    <xdr:from>
      <xdr:col>6</xdr:col>
      <xdr:colOff>385234</xdr:colOff>
      <xdr:row>3</xdr:row>
      <xdr:rowOff>71967</xdr:rowOff>
    </xdr:from>
    <xdr:to>
      <xdr:col>7</xdr:col>
      <xdr:colOff>4234</xdr:colOff>
      <xdr:row>4</xdr:row>
      <xdr:rowOff>118533</xdr:rowOff>
    </xdr:to>
    <xdr:pic>
      <xdr:nvPicPr>
        <xdr:cNvPr id="65" name="Graphic 64" descr="Rating with solid fill">
          <a:extLst>
            <a:ext uri="{FF2B5EF4-FFF2-40B4-BE49-F238E27FC236}">
              <a16:creationId xmlns:a16="http://schemas.microsoft.com/office/drawing/2014/main" id="{FDD5262D-5C2F-7F21-DEDA-F9859D9AB5C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2834" y="635000"/>
          <a:ext cx="228600" cy="228600"/>
        </a:xfrm>
        <a:prstGeom prst="rect">
          <a:avLst/>
        </a:prstGeom>
      </xdr:spPr>
    </xdr:pic>
    <xdr:clientData/>
  </xdr:twoCellAnchor>
  <xdr:twoCellAnchor editAs="oneCell">
    <xdr:from>
      <xdr:col>0</xdr:col>
      <xdr:colOff>16934</xdr:colOff>
      <xdr:row>3</xdr:row>
      <xdr:rowOff>66676</xdr:rowOff>
    </xdr:from>
    <xdr:to>
      <xdr:col>1</xdr:col>
      <xdr:colOff>123825</xdr:colOff>
      <xdr:row>19</xdr:row>
      <xdr:rowOff>171450</xdr:rowOff>
    </xdr:to>
    <mc:AlternateContent xmlns:mc="http://schemas.openxmlformats.org/markup-compatibility/2006" xmlns:a14="http://schemas.microsoft.com/office/drawing/2010/main">
      <mc:Choice Requires="a14">
        <xdr:graphicFrame macro="">
          <xdr:nvGraphicFramePr>
            <xdr:cNvPr id="66" name="Date (Month)">
              <a:extLst>
                <a:ext uri="{FF2B5EF4-FFF2-40B4-BE49-F238E27FC236}">
                  <a16:creationId xmlns:a16="http://schemas.microsoft.com/office/drawing/2014/main" id="{B4C39D06-EA3C-4921-8807-8C0CC45E0A1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6934" y="628651"/>
              <a:ext cx="716491" cy="3000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157163</xdr:colOff>
      <xdr:row>5</xdr:row>
      <xdr:rowOff>80962</xdr:rowOff>
    </xdr:from>
    <xdr:to>
      <xdr:col>3</xdr:col>
      <xdr:colOff>61913</xdr:colOff>
      <xdr:row>8</xdr:row>
      <xdr:rowOff>0</xdr:rowOff>
    </xdr:to>
    <xdr:graphicFrame macro="">
      <xdr:nvGraphicFramePr>
        <xdr:cNvPr id="70" name="Chart 69">
          <a:hlinkClick xmlns:r="http://schemas.openxmlformats.org/officeDocument/2006/relationships" r:id="rId8"/>
          <a:extLst>
            <a:ext uri="{FF2B5EF4-FFF2-40B4-BE49-F238E27FC236}">
              <a16:creationId xmlns:a16="http://schemas.microsoft.com/office/drawing/2014/main" id="{AB5C972F-47DD-E0B8-72F5-A92F9518A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157163</xdr:colOff>
      <xdr:row>5</xdr:row>
      <xdr:rowOff>119062</xdr:rowOff>
    </xdr:from>
    <xdr:to>
      <xdr:col>5</xdr:col>
      <xdr:colOff>42863</xdr:colOff>
      <xdr:row>7</xdr:row>
      <xdr:rowOff>161925</xdr:rowOff>
    </xdr:to>
    <xdr:graphicFrame macro="">
      <xdr:nvGraphicFramePr>
        <xdr:cNvPr id="71" name="Chart 70">
          <a:hlinkClick xmlns:r="http://schemas.openxmlformats.org/officeDocument/2006/relationships" r:id="rId10"/>
          <a:extLst>
            <a:ext uri="{FF2B5EF4-FFF2-40B4-BE49-F238E27FC236}">
              <a16:creationId xmlns:a16="http://schemas.microsoft.com/office/drawing/2014/main" id="{72DA600D-87E0-4F21-8208-A7D650239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123826</xdr:colOff>
      <xdr:row>5</xdr:row>
      <xdr:rowOff>128588</xdr:rowOff>
    </xdr:from>
    <xdr:to>
      <xdr:col>7</xdr:col>
      <xdr:colOff>28576</xdr:colOff>
      <xdr:row>7</xdr:row>
      <xdr:rowOff>176212</xdr:rowOff>
    </xdr:to>
    <xdr:graphicFrame macro="">
      <xdr:nvGraphicFramePr>
        <xdr:cNvPr id="72" name="Chart 71">
          <a:hlinkClick xmlns:r="http://schemas.openxmlformats.org/officeDocument/2006/relationships" r:id="rId12"/>
          <a:extLst>
            <a:ext uri="{FF2B5EF4-FFF2-40B4-BE49-F238E27FC236}">
              <a16:creationId xmlns:a16="http://schemas.microsoft.com/office/drawing/2014/main" id="{8D14B239-5518-441E-8EC9-E38A5BFB1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128588</xdr:colOff>
      <xdr:row>8</xdr:row>
      <xdr:rowOff>61912</xdr:rowOff>
    </xdr:from>
    <xdr:to>
      <xdr:col>7</xdr:col>
      <xdr:colOff>30586</xdr:colOff>
      <xdr:row>10</xdr:row>
      <xdr:rowOff>138113</xdr:rowOff>
    </xdr:to>
    <xdr:pic>
      <xdr:nvPicPr>
        <xdr:cNvPr id="84" name="Picture 83">
          <a:extLst>
            <a:ext uri="{FF2B5EF4-FFF2-40B4-BE49-F238E27FC236}">
              <a16:creationId xmlns:a16="http://schemas.microsoft.com/office/drawing/2014/main" id="{06A26EE9-334D-E4C8-CDED-BC269E1CA96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38188" y="1528762"/>
          <a:ext cx="3559598" cy="43815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142875</xdr:colOff>
      <xdr:row>11</xdr:row>
      <xdr:rowOff>19050</xdr:rowOff>
    </xdr:from>
    <xdr:to>
      <xdr:col>7</xdr:col>
      <xdr:colOff>66675</xdr:colOff>
      <xdr:row>20</xdr:row>
      <xdr:rowOff>4763</xdr:rowOff>
    </xdr:to>
    <xdr:graphicFrame macro="">
      <xdr:nvGraphicFramePr>
        <xdr:cNvPr id="85" name="Chart 84">
          <a:extLst>
            <a:ext uri="{FF2B5EF4-FFF2-40B4-BE49-F238E27FC236}">
              <a16:creationId xmlns:a16="http://schemas.microsoft.com/office/drawing/2014/main" id="{3A40AF98-FE82-43A5-B9B6-B1C83F130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76201</xdr:colOff>
      <xdr:row>0</xdr:row>
      <xdr:rowOff>42863</xdr:rowOff>
    </xdr:from>
    <xdr:to>
      <xdr:col>9</xdr:col>
      <xdr:colOff>47625</xdr:colOff>
      <xdr:row>6</xdr:row>
      <xdr:rowOff>109538</xdr:rowOff>
    </xdr:to>
    <xdr:graphicFrame macro="">
      <xdr:nvGraphicFramePr>
        <xdr:cNvPr id="87" name="Chart 86">
          <a:extLst>
            <a:ext uri="{FF2B5EF4-FFF2-40B4-BE49-F238E27FC236}">
              <a16:creationId xmlns:a16="http://schemas.microsoft.com/office/drawing/2014/main" id="{1EABD076-78FE-4D32-B378-296B4288F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80435</xdr:colOff>
      <xdr:row>0</xdr:row>
      <xdr:rowOff>40340</xdr:rowOff>
    </xdr:from>
    <xdr:to>
      <xdr:col>11</xdr:col>
      <xdr:colOff>57151</xdr:colOff>
      <xdr:row>6</xdr:row>
      <xdr:rowOff>119063</xdr:rowOff>
    </xdr:to>
    <xdr:graphicFrame macro="">
      <xdr:nvGraphicFramePr>
        <xdr:cNvPr id="88" name="Chart 87">
          <a:extLst>
            <a:ext uri="{FF2B5EF4-FFF2-40B4-BE49-F238E27FC236}">
              <a16:creationId xmlns:a16="http://schemas.microsoft.com/office/drawing/2014/main" id="{1E94A1F4-5D77-432E-A61C-77F642E0C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93133</xdr:colOff>
      <xdr:row>6</xdr:row>
      <xdr:rowOff>150407</xdr:rowOff>
    </xdr:from>
    <xdr:to>
      <xdr:col>11</xdr:col>
      <xdr:colOff>23812</xdr:colOff>
      <xdr:row>20</xdr:row>
      <xdr:rowOff>4763</xdr:rowOff>
    </xdr:to>
    <xdr:graphicFrame macro="">
      <xdr:nvGraphicFramePr>
        <xdr:cNvPr id="89" name="Chart 88">
          <a:extLst>
            <a:ext uri="{FF2B5EF4-FFF2-40B4-BE49-F238E27FC236}">
              <a16:creationId xmlns:a16="http://schemas.microsoft.com/office/drawing/2014/main" id="{BF14DBD8-6387-4C7F-B1A2-41087497E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4</xdr:col>
      <xdr:colOff>314325</xdr:colOff>
      <xdr:row>0</xdr:row>
      <xdr:rowOff>33338</xdr:rowOff>
    </xdr:from>
    <xdr:to>
      <xdr:col>7</xdr:col>
      <xdr:colOff>38101</xdr:colOff>
      <xdr:row>3</xdr:row>
      <xdr:rowOff>0</xdr:rowOff>
    </xdr:to>
    <mc:AlternateContent xmlns:mc="http://schemas.openxmlformats.org/markup-compatibility/2006" xmlns:a14="http://schemas.microsoft.com/office/drawing/2010/main">
      <mc:Choice Requires="a14">
        <xdr:graphicFrame macro="">
          <xdr:nvGraphicFramePr>
            <xdr:cNvPr id="90" name="Date (Year)">
              <a:extLst>
                <a:ext uri="{FF2B5EF4-FFF2-40B4-BE49-F238E27FC236}">
                  <a16:creationId xmlns:a16="http://schemas.microsoft.com/office/drawing/2014/main" id="{61E7D0BF-6F7F-4FB5-8DE2-688CB42BDC4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752725" y="33338"/>
              <a:ext cx="1552576" cy="528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0.20346</cdr:x>
      <cdr:y>0.87952</cdr:y>
    </cdr:from>
    <cdr:to>
      <cdr:x>0.66888</cdr:x>
      <cdr:y>0.98795</cdr:y>
    </cdr:to>
    <cdr:sp macro="" textlink="">
      <cdr:nvSpPr>
        <cdr:cNvPr id="2" name="TextBox 51">
          <a:extLst xmlns:a="http://schemas.openxmlformats.org/drawingml/2006/main">
            <a:ext uri="{FF2B5EF4-FFF2-40B4-BE49-F238E27FC236}">
              <a16:creationId xmlns:a16="http://schemas.microsoft.com/office/drawing/2014/main" id="{C9B4DA82-4E78-4AB8-B919-29C22166882D}"/>
            </a:ext>
          </a:extLst>
        </cdr:cNvPr>
        <cdr:cNvSpPr txBox="1"/>
      </cdr:nvSpPr>
      <cdr:spPr>
        <a:xfrm xmlns:a="http://schemas.openxmlformats.org/drawingml/2006/main">
          <a:off x="728662" y="1390650"/>
          <a:ext cx="1666875" cy="1714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a:solidFill>
                <a:schemeClr val="dk1"/>
              </a:solidFill>
              <a:latin typeface="+mn-lt"/>
              <a:ea typeface="+mn-ea"/>
              <a:cs typeface="+mn-cs"/>
            </a:rPr>
            <a:t>No. of Patients</a:t>
          </a:r>
          <a:r>
            <a:rPr lang="en-US" sz="900" baseline="0">
              <a:solidFill>
                <a:schemeClr val="dk1"/>
              </a:solidFill>
              <a:latin typeface="+mn-lt"/>
              <a:ea typeface="+mn-ea"/>
              <a:cs typeface="+mn-cs"/>
            </a:rPr>
            <a:t> by Age group</a:t>
          </a:r>
          <a:r>
            <a:rPr lang="en-US" sz="900">
              <a:solidFill>
                <a:schemeClr val="dk1"/>
              </a:solidFill>
              <a:latin typeface="+mn-lt"/>
              <a:ea typeface="+mn-ea"/>
              <a:cs typeface="+mn-cs"/>
            </a:rPr>
            <a:t>      </a:t>
          </a:r>
        </a:p>
      </cdr:txBody>
    </cdr:sp>
  </cdr:relSizeAnchor>
</c:userShapes>
</file>

<file path=xl/drawings/drawing4.xml><?xml version="1.0" encoding="utf-8"?>
<c:userShapes xmlns:c="http://schemas.openxmlformats.org/drawingml/2006/chart">
  <cdr:relSizeAnchor xmlns:cdr="http://schemas.openxmlformats.org/drawingml/2006/chartDrawing">
    <cdr:from>
      <cdr:x>0.01467</cdr:x>
      <cdr:y>0.85597</cdr:y>
    </cdr:from>
    <cdr:to>
      <cdr:x>0.992</cdr:x>
      <cdr:y>0.97531</cdr:y>
    </cdr:to>
    <cdr:sp macro="" textlink="">
      <cdr:nvSpPr>
        <cdr:cNvPr id="2" name="TextBox 51">
          <a:extLst xmlns:a="http://schemas.openxmlformats.org/drawingml/2006/main">
            <a:ext uri="{FF2B5EF4-FFF2-40B4-BE49-F238E27FC236}">
              <a16:creationId xmlns:a16="http://schemas.microsoft.com/office/drawing/2014/main" id="{C9B4DA82-4E78-4AB8-B919-29C22166882D}"/>
            </a:ext>
          </a:extLst>
        </cdr:cNvPr>
        <cdr:cNvSpPr txBox="1"/>
      </cdr:nvSpPr>
      <cdr:spPr>
        <a:xfrm xmlns:a="http://schemas.openxmlformats.org/drawingml/2006/main">
          <a:off x="17461" y="990599"/>
          <a:ext cx="1163637" cy="1381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a:solidFill>
                <a:schemeClr val="dk1"/>
              </a:solidFill>
              <a:latin typeface="+mn-lt"/>
              <a:ea typeface="+mn-ea"/>
              <a:cs typeface="+mn-cs"/>
            </a:rPr>
            <a:t>Patient</a:t>
          </a:r>
          <a:r>
            <a:rPr lang="en-US" sz="900" baseline="0">
              <a:solidFill>
                <a:schemeClr val="dk1"/>
              </a:solidFill>
              <a:latin typeface="+mn-lt"/>
              <a:ea typeface="+mn-ea"/>
              <a:cs typeface="+mn-cs"/>
            </a:rPr>
            <a:t> Attend Status</a:t>
          </a:r>
          <a:r>
            <a:rPr lang="en-US" sz="900">
              <a:solidFill>
                <a:schemeClr val="dk1"/>
              </a:solidFill>
              <a:latin typeface="+mn-lt"/>
              <a:ea typeface="+mn-ea"/>
              <a:cs typeface="+mn-cs"/>
            </a:rPr>
            <a:t>   </a:t>
          </a:r>
        </a:p>
      </cdr:txBody>
    </cdr:sp>
  </cdr:relSizeAnchor>
</c:userShapes>
</file>

<file path=xl/drawings/drawing5.xml><?xml version="1.0" encoding="utf-8"?>
<c:userShapes xmlns:c="http://schemas.openxmlformats.org/drawingml/2006/chart">
  <cdr:relSizeAnchor xmlns:cdr="http://schemas.openxmlformats.org/drawingml/2006/chartDrawing">
    <cdr:from>
      <cdr:x>0.02301</cdr:x>
      <cdr:y>0.87527</cdr:y>
    </cdr:from>
    <cdr:to>
      <cdr:x>0.99602</cdr:x>
      <cdr:y>0.98793</cdr:y>
    </cdr:to>
    <cdr:sp macro="" textlink="">
      <cdr:nvSpPr>
        <cdr:cNvPr id="2" name="TextBox 51">
          <a:extLst xmlns:a="http://schemas.openxmlformats.org/drawingml/2006/main">
            <a:ext uri="{FF2B5EF4-FFF2-40B4-BE49-F238E27FC236}">
              <a16:creationId xmlns:a16="http://schemas.microsoft.com/office/drawing/2014/main" id="{9548DA68-F7D2-3A9D-FF7E-271B459425A1}"/>
            </a:ext>
          </a:extLst>
        </cdr:cNvPr>
        <cdr:cNvSpPr txBox="1"/>
      </cdr:nvSpPr>
      <cdr:spPr>
        <a:xfrm xmlns:a="http://schemas.openxmlformats.org/drawingml/2006/main">
          <a:off x="27517" y="1035986"/>
          <a:ext cx="1163637" cy="1333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a:solidFill>
                <a:schemeClr val="dk1"/>
              </a:solidFill>
              <a:latin typeface="+mn-lt"/>
              <a:ea typeface="+mn-ea"/>
              <a:cs typeface="+mn-cs"/>
            </a:rPr>
            <a:t>Gender wise Analysis   </a:t>
          </a:r>
        </a:p>
      </cdr:txBody>
    </cdr:sp>
  </cdr:relSizeAnchor>
</c:userShapes>
</file>

<file path=xl/drawings/drawing6.xml><?xml version="1.0" encoding="utf-8"?>
<c:userShapes xmlns:c="http://schemas.openxmlformats.org/drawingml/2006/chart">
  <cdr:relSizeAnchor xmlns:cdr="http://schemas.openxmlformats.org/drawingml/2006/chartDrawing">
    <cdr:from>
      <cdr:x>0.02144</cdr:x>
      <cdr:y>0.92222</cdr:y>
    </cdr:from>
    <cdr:to>
      <cdr:x>0.97186</cdr:x>
      <cdr:y>0.99202</cdr:y>
    </cdr:to>
    <cdr:sp macro="" textlink="">
      <cdr:nvSpPr>
        <cdr:cNvPr id="2" name="TextBox 51">
          <a:extLst xmlns:a="http://schemas.openxmlformats.org/drawingml/2006/main">
            <a:ext uri="{FF2B5EF4-FFF2-40B4-BE49-F238E27FC236}">
              <a16:creationId xmlns:a16="http://schemas.microsoft.com/office/drawing/2014/main" id="{C8CA2BA0-CAA4-57CC-B113-B87888EC0A3F}"/>
            </a:ext>
          </a:extLst>
        </cdr:cNvPr>
        <cdr:cNvSpPr txBox="1"/>
      </cdr:nvSpPr>
      <cdr:spPr>
        <a:xfrm xmlns:a="http://schemas.openxmlformats.org/drawingml/2006/main">
          <a:off x="50800" y="2202268"/>
          <a:ext cx="2251605" cy="16668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a:solidFill>
                <a:schemeClr val="dk1"/>
              </a:solidFill>
              <a:latin typeface="+mn-lt"/>
              <a:ea typeface="+mn-ea"/>
              <a:cs typeface="+mn-cs"/>
            </a:rPr>
            <a:t>No. of Patients</a:t>
          </a:r>
          <a:r>
            <a:rPr lang="en-US" sz="900" baseline="0">
              <a:solidFill>
                <a:schemeClr val="dk1"/>
              </a:solidFill>
              <a:latin typeface="+mn-lt"/>
              <a:ea typeface="+mn-ea"/>
              <a:cs typeface="+mn-cs"/>
            </a:rPr>
            <a:t> by Department Referal</a:t>
          </a:r>
          <a:r>
            <a:rPr lang="en-US" sz="900">
              <a:solidFill>
                <a:schemeClr val="dk1"/>
              </a:solidFill>
              <a:latin typeface="+mn-lt"/>
              <a:ea typeface="+mn-ea"/>
              <a:cs typeface="+mn-cs"/>
            </a:rPr>
            <a:t>     </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167640</xdr:colOff>
      <xdr:row>0</xdr:row>
      <xdr:rowOff>30480</xdr:rowOff>
    </xdr:from>
    <xdr:to>
      <xdr:col>17</xdr:col>
      <xdr:colOff>297180</xdr:colOff>
      <xdr:row>27</xdr:row>
      <xdr:rowOff>91440</xdr:rowOff>
    </xdr:to>
    <xdr:graphicFrame macro="">
      <xdr:nvGraphicFramePr>
        <xdr:cNvPr id="2" name="Chart 1">
          <a:extLst>
            <a:ext uri="{FF2B5EF4-FFF2-40B4-BE49-F238E27FC236}">
              <a16:creationId xmlns:a16="http://schemas.microsoft.com/office/drawing/2014/main" id="{5855EEE1-C58C-4724-B16E-0EACDE52C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327660</xdr:colOff>
      <xdr:row>27</xdr:row>
      <xdr:rowOff>121920</xdr:rowOff>
    </xdr:from>
    <xdr:ext cx="7505700" cy="388620"/>
    <xdr:sp macro="" textlink="">
      <xdr:nvSpPr>
        <xdr:cNvPr id="3" name="TextBox 2">
          <a:extLst>
            <a:ext uri="{FF2B5EF4-FFF2-40B4-BE49-F238E27FC236}">
              <a16:creationId xmlns:a16="http://schemas.microsoft.com/office/drawing/2014/main" id="{BE59AE33-F3FB-7A3D-F2F5-AE014DD32A81}"/>
            </a:ext>
          </a:extLst>
        </xdr:cNvPr>
        <xdr:cNvSpPr txBox="1"/>
      </xdr:nvSpPr>
      <xdr:spPr>
        <a:xfrm>
          <a:off x="937260" y="5059680"/>
          <a:ext cx="7505700" cy="38862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effectLst/>
            </a:rPr>
            <a:t>Use an area chart to track daily changes and highlight days with longer wait times that might need improvements.</a:t>
          </a:r>
        </a:p>
        <a:p>
          <a:pPr algn="ctr"/>
          <a:endParaRPr lang="en-US" sz="1200"/>
        </a:p>
      </xdr:txBody>
    </xdr:sp>
    <xdr:clientData/>
  </xdr:oneCellAnchor>
</xdr:wsDr>
</file>

<file path=xl/drawings/drawing8.xml><?xml version="1.0" encoding="utf-8"?>
<c:userShapes xmlns:c="http://schemas.openxmlformats.org/drawingml/2006/chart">
  <cdr:relSizeAnchor xmlns:cdr="http://schemas.openxmlformats.org/drawingml/2006/chartDrawing">
    <cdr:from>
      <cdr:x>0.00595</cdr:x>
      <cdr:y>0.0112</cdr:y>
    </cdr:from>
    <cdr:to>
      <cdr:x>0.06577</cdr:x>
      <cdr:y>0.12381</cdr:y>
    </cdr:to>
    <cdr:pic>
      <cdr:nvPicPr>
        <cdr:cNvPr id="2" name="Graphic 1" descr="Work from home 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68E8B8B-AAFC-3A4E-3551-72F918F6C5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10540" cy="51054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297180</xdr:colOff>
      <xdr:row>22</xdr:row>
      <xdr:rowOff>121920</xdr:rowOff>
    </xdr:to>
    <xdr:graphicFrame macro="">
      <xdr:nvGraphicFramePr>
        <xdr:cNvPr id="4" name="Chart 3">
          <a:extLst>
            <a:ext uri="{FF2B5EF4-FFF2-40B4-BE49-F238E27FC236}">
              <a16:creationId xmlns:a16="http://schemas.microsoft.com/office/drawing/2014/main" id="{281410CA-C926-4B19-ABEE-CB5D73681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198120</xdr:colOff>
      <xdr:row>22</xdr:row>
      <xdr:rowOff>114300</xdr:rowOff>
    </xdr:from>
    <xdr:to>
      <xdr:col>13</xdr:col>
      <xdr:colOff>449580</xdr:colOff>
      <xdr:row>25</xdr:row>
      <xdr:rowOff>83820</xdr:rowOff>
    </xdr:to>
    <xdr:sp macro="" textlink="">
      <xdr:nvSpPr>
        <xdr:cNvPr id="5" name="TextBox 4">
          <a:extLst>
            <a:ext uri="{FF2B5EF4-FFF2-40B4-BE49-F238E27FC236}">
              <a16:creationId xmlns:a16="http://schemas.microsoft.com/office/drawing/2014/main" id="{F6B9EB40-6EF0-DEE2-862B-EFB67A7ACC26}"/>
            </a:ext>
          </a:extLst>
        </xdr:cNvPr>
        <xdr:cNvSpPr txBox="1"/>
      </xdr:nvSpPr>
      <xdr:spPr>
        <a:xfrm>
          <a:off x="198120" y="4137660"/>
          <a:ext cx="8176260" cy="51816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effectLst/>
            </a:rPr>
            <a:t>Show a daily trend with an area chart to spot patterns like busy days or seasonal trends.</a:t>
          </a:r>
        </a:p>
        <a:p>
          <a:endParaRPr lang="en-US" sz="1600"/>
        </a:p>
      </xdr:txBody>
    </xdr:sp>
    <xdr:clientData/>
  </xdr:twoCellAnchor>
</xdr:wsDr>
</file>

<file path=xl/drawings/drawing10.xml><?xml version="1.0" encoding="utf-8"?>
<c:userShapes xmlns:c="http://schemas.openxmlformats.org/drawingml/2006/chart">
  <cdr:relSizeAnchor xmlns:cdr="http://schemas.openxmlformats.org/drawingml/2006/chartDrawing">
    <cdr:from>
      <cdr:x>0.02917</cdr:x>
      <cdr:y>0.72308</cdr:y>
    </cdr:from>
    <cdr:to>
      <cdr:x>0.91667</cdr:x>
      <cdr:y>1</cdr:y>
    </cdr:to>
    <cdr:sp macro="" textlink="">
      <cdr:nvSpPr>
        <cdr:cNvPr id="3" name="TextBox 2">
          <a:extLst xmlns:a="http://schemas.openxmlformats.org/drawingml/2006/main">
            <a:ext uri="{FF2B5EF4-FFF2-40B4-BE49-F238E27FC236}">
              <a16:creationId xmlns:a16="http://schemas.microsoft.com/office/drawing/2014/main" id="{D0A3D387-0E83-D534-6F00-C078C95C06DB}"/>
            </a:ext>
          </a:extLst>
        </cdr:cNvPr>
        <cdr:cNvSpPr txBox="1"/>
      </cdr:nvSpPr>
      <cdr:spPr>
        <a:xfrm xmlns:a="http://schemas.openxmlformats.org/drawingml/2006/main">
          <a:off x="213360" y="2506980"/>
          <a:ext cx="6492240" cy="9601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200">
            <a:effectLst/>
          </a:endParaRPr>
        </a:p>
      </cdr:txBody>
    </cdr:sp>
  </cdr:relSizeAnchor>
  <cdr:relSizeAnchor xmlns:cdr="http://schemas.openxmlformats.org/drawingml/2006/chartDrawing">
    <cdr:from>
      <cdr:x>0</cdr:x>
      <cdr:y>0</cdr:y>
    </cdr:from>
    <cdr:to>
      <cdr:x>0.05408</cdr:x>
      <cdr:y>0.12316</cdr:y>
    </cdr:to>
    <cdr:pic>
      <cdr:nvPicPr>
        <cdr:cNvPr id="4" name="Graphic 3" descr="Work from home 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CA6222F-603E-D63A-5205-69D4C0A779D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10540" cy="510540"/>
        </a:xfrm>
        <a:prstGeom xmlns:a="http://schemas.openxmlformats.org/drawingml/2006/main" prst="rect">
          <a:avLst/>
        </a:prstGeom>
      </cdr:spPr>
    </cdr:pic>
  </cdr:relSizeAnchor>
</c:userShapes>
</file>

<file path=xl/drawings/drawing11.xml><?xml version="1.0" encoding="utf-8"?>
<xdr:wsDr xmlns:xdr="http://schemas.openxmlformats.org/drawingml/2006/spreadsheetDrawing" xmlns:a="http://schemas.openxmlformats.org/drawingml/2006/main">
  <xdr:oneCellAnchor>
    <xdr:from>
      <xdr:col>1</xdr:col>
      <xdr:colOff>327660</xdr:colOff>
      <xdr:row>26</xdr:row>
      <xdr:rowOff>68580</xdr:rowOff>
    </xdr:from>
    <xdr:ext cx="7505700" cy="388620"/>
    <xdr:sp macro="" textlink="">
      <xdr:nvSpPr>
        <xdr:cNvPr id="3" name="TextBox 2">
          <a:extLst>
            <a:ext uri="{FF2B5EF4-FFF2-40B4-BE49-F238E27FC236}">
              <a16:creationId xmlns:a16="http://schemas.microsoft.com/office/drawing/2014/main" id="{E3AA74F5-E2D8-4363-ABF6-F9E5BB9C2057}"/>
            </a:ext>
          </a:extLst>
        </xdr:cNvPr>
        <xdr:cNvSpPr txBox="1"/>
      </xdr:nvSpPr>
      <xdr:spPr>
        <a:xfrm>
          <a:off x="937260" y="4823460"/>
          <a:ext cx="7505700" cy="38862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effectLst/>
            </a:rPr>
            <a:t>Use an area chart to show trends, spot drops in satisfaction, and link them to busy times or challenges.</a:t>
          </a:r>
        </a:p>
        <a:p>
          <a:pPr algn="ctr"/>
          <a:endParaRPr lang="en-US" sz="1200"/>
        </a:p>
      </xdr:txBody>
    </xdr:sp>
    <xdr:clientData/>
  </xdr:oneCellAnchor>
  <xdr:twoCellAnchor>
    <xdr:from>
      <xdr:col>0</xdr:col>
      <xdr:colOff>7620</xdr:colOff>
      <xdr:row>0</xdr:row>
      <xdr:rowOff>15240</xdr:rowOff>
    </xdr:from>
    <xdr:to>
      <xdr:col>18</xdr:col>
      <xdr:colOff>487680</xdr:colOff>
      <xdr:row>26</xdr:row>
      <xdr:rowOff>121920</xdr:rowOff>
    </xdr:to>
    <xdr:graphicFrame macro="">
      <xdr:nvGraphicFramePr>
        <xdr:cNvPr id="10" name="Chart 9">
          <a:hlinkClick xmlns:r="http://schemas.openxmlformats.org/officeDocument/2006/relationships" r:id="rId1"/>
          <a:extLst>
            <a:ext uri="{FF2B5EF4-FFF2-40B4-BE49-F238E27FC236}">
              <a16:creationId xmlns:a16="http://schemas.microsoft.com/office/drawing/2014/main" id="{1A0AAB13-89C5-4FFB-A6A0-91F08F1EE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0.00481</cdr:x>
      <cdr:y>0.01057</cdr:y>
    </cdr:from>
    <cdr:to>
      <cdr:x>0.0642</cdr:x>
      <cdr:y>0.12763</cdr:y>
    </cdr:to>
    <cdr:pic>
      <cdr:nvPicPr>
        <cdr:cNvPr id="2" name="Graphic 1" descr="Work from home 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1D002DF-DF50-38C1-F1DE-150806A569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27690" cy="56288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78587967" createdVersion="5" refreshedVersion="8" minRefreshableVersion="3" recordCount="0" supportSubquery="1" supportAdvancedDrill="1" xr:uid="{681045C8-F322-41BA-8C79-7C45C4FD6A42}">
  <cacheSource type="external" connectionId="3"/>
  <cacheFields count="4">
    <cacheField name="[Calender].[Date (Month)].[Date (Month)]" caption="Date (Month)" numFmtId="0" hierarchy="1" level="1">
      <sharedItems count="1">
        <s v="Oct"/>
      </sharedItems>
    </cacheField>
    <cacheField name="[Calender].[Date].[Date]" caption="Date" numFmtId="0" level="1">
      <sharedItems containsSemiMixedTypes="0" containsNonDate="0" containsDate="1" containsString="0" minDate="2023-10-01T00:00:00" maxDate="2024-11-01T00:00:00" count="62">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er].[Date (Quarter)].[Date (Quarter)]" caption="Date (Quarter)" numFmtId="0" hierarchy="4" level="1">
      <sharedItems count="1">
        <s v="Qtr4"/>
      </sharedItems>
    </cacheField>
    <cacheField name="[Calender].[Date (Year)].[Date (Year)]" caption="Date (Year)" numFmtId="0" hierarchy="3" level="1">
      <sharedItems count="1">
        <s v="2023"/>
      </sharedItems>
    </cacheField>
  </cacheFields>
  <cacheHierarchies count="35">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79050928" createdVersion="5" refreshedVersion="8" minRefreshableVersion="3" recordCount="0" supportSubquery="1" supportAdvancedDrill="1" xr:uid="{44E880FE-A43E-4D5A-B2D1-F37D868D8D00}">
  <cacheSource type="external" connectionId="3"/>
  <cacheFields count="3">
    <cacheField name="[Measures].[Distinct Count of Patient Id]" caption="Distinct Count of Patient Id" numFmtId="0" hierarchy="24"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79629629" createdVersion="5" refreshedVersion="8" minRefreshableVersion="3" recordCount="0" supportSubquery="1" supportAdvancedDrill="1" xr:uid="{A0799A6F-49F2-4665-B365-C57690025E25}">
  <cacheSource type="external" connectionId="3"/>
  <cacheFields count="4">
    <cacheField name="[Calender].[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80208337" createdVersion="5" refreshedVersion="8" minRefreshableVersion="3" recordCount="0" supportSubquery="1" supportAdvancedDrill="1" xr:uid="{5A06EE20-B419-460B-BE2C-387851C3603F}">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81018522" createdVersion="5" refreshedVersion="8" minRefreshableVersion="3" recordCount="0" supportSubquery="1" supportAdvancedDrill="1" xr:uid="{3FF8EF32-0DBB-4B71-AB1C-F321D6C582E4}">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81944446" createdVersion="5" refreshedVersion="8" minRefreshableVersion="3" recordCount="0" supportSubquery="1" supportAdvancedDrill="1" xr:uid="{78C91EE8-AF50-4DAA-8992-5DCF89D651AA}">
  <cacheSource type="external" connectionId="3"/>
  <cacheFields count="4">
    <cacheField name="[Calende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82523146" createdVersion="5" refreshedVersion="8" minRefreshableVersion="3" recordCount="0" supportSubquery="1" supportAdvancedDrill="1" xr:uid="{27969C7D-BE3F-4FC6-B527-9B8256E1A9D0}">
  <cacheSource type="external" connectionId="3"/>
  <cacheFields count="3">
    <cacheField name="[Measures].[Average of Patient Waittime]" caption="Average of Patient Waittime" numFmtId="0" hierarchy="26"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82986108" createdVersion="5" refreshedVersion="8" minRefreshableVersion="3" recordCount="0" supportSubquery="1" supportAdvancedDrill="1" xr:uid="{B15085B6-23C9-478D-BF8D-BBBABDB93D05}">
  <cacheSource type="external" connectionId="3"/>
  <cacheFields count="3">
    <cacheField name="[Measures].[Average of Patient Satisfaction Score]" caption="Average of Patient Satisfaction Score" numFmtId="0" hierarchy="28"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83564816" createdVersion="5" refreshedVersion="8" minRefreshableVersion="3" recordCount="0" supportSubquery="1" supportAdvancedDrill="1" xr:uid="{F1CA69C3-B6D7-41EB-9C0E-AA6C1461B6FB}">
  <cacheSource type="external" connectionId="3"/>
  <cacheFields count="4">
    <cacheField name="[Measures].[Distinct Count of Patient Id]" caption="Distinct Count of Patient Id" numFmtId="0" hierarchy="24" level="32767"/>
    <cacheField name="[Calender].[Date (Day)].[Date (Day)]" caption="Date (Day)" numFmtId="0" hierarchy="2" level="1">
      <sharedItems count="9">
        <s v="4-May"/>
        <s v="5-May"/>
        <s v="6-May"/>
        <s v="7-May"/>
        <s v="8-May"/>
        <s v="9-May"/>
        <s v="10-May"/>
        <s v="11-May"/>
        <s v="12-May"/>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84259263" createdVersion="5" refreshedVersion="8" minRefreshableVersion="3" recordCount="0" supportSubquery="1" supportAdvancedDrill="1" xr:uid="{13B91590-22BC-403E-84DD-7ED5FE430EE0}">
  <cacheSource type="external" connectionId="3"/>
  <cacheFields count="4">
    <cacheField name="[Calender].[Date (Day)].[Date (Day)]" caption="Date (Day)" numFmtId="0" hierarchy="2" level="1">
      <sharedItems count="10">
        <s v="4-May"/>
        <s v="5-May"/>
        <s v="6-May"/>
        <s v="7-May"/>
        <s v="8-May"/>
        <s v="9-May"/>
        <s v="10-May"/>
        <s v="11-May"/>
        <s v="12-May"/>
        <s v="2-Dec" u="1"/>
      </sharedItems>
    </cacheField>
    <cacheField name="[Calender].[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85069448" createdVersion="5" refreshedVersion="8" minRefreshableVersion="3" recordCount="0" supportSubquery="1" supportAdvancedDrill="1" xr:uid="{8200D259-6E0E-4BED-99AF-C885FEFDFDFA}">
  <cacheSource type="external" connectionId="3"/>
  <cacheFields count="4">
    <cacheField name="[Calender].[Date (Day)].[Date (Day)]" caption="Date (Day)" numFmtId="0" hierarchy="2" level="1">
      <sharedItems count="10">
        <s v="4-May"/>
        <s v="5-May"/>
        <s v="6-May"/>
        <s v="7-May"/>
        <s v="8-May"/>
        <s v="9-May"/>
        <s v="10-May"/>
        <s v="11-May"/>
        <s v="12-May"/>
        <s v="2-Dec" u="1"/>
      </sharedItems>
    </cacheField>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8185879633" createdVersion="5" refreshedVersion="8" minRefreshableVersion="3" recordCount="0" supportSubquery="1" supportAdvancedDrill="1" xr:uid="{A6178987-58F6-4962-A9E3-8840E9181BB6}">
  <cacheSource type="external" connectionId="3"/>
  <cacheFields count="5">
    <cacheField name="[Calende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 Pawar" refreshedDate="46080.001809606481" createdVersion="3" refreshedVersion="8" minRefreshableVersion="3" recordCount="0" supportSubquery="1" supportAdvancedDrill="1" xr:uid="{3A317636-A0AC-4846-8FE8-CF7E68C1728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742090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464313-7B8D-4E38-BCE6-AC3793A82C1F}" name="PivotTable1" cacheId="1" applyNumberFormats="0" applyBorderFormats="0" applyFontFormats="0" applyPatternFormats="0" applyAlignmentFormats="0" applyWidthHeightFormats="1" dataCaption="Values" tag="d02f90d6-ca01-4d43-a491-706ac067e159"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D47F8C-AD52-48E0-A94F-5A678B9D32B0}" name="PivotTable8" cacheId="10" applyNumberFormats="0" applyBorderFormats="0" applyFontFormats="0" applyPatternFormats="0" applyAlignmentFormats="0" applyWidthHeightFormats="1" dataCaption="Values" tag="0de49356-9ba1-4211-b7d3-1f6dcfee64e9" updatedVersion="8" minRefreshableVersion="3" subtotalHiddenItems="1" itemPrintTitles="1" createdVersion="5" indent="0" outline="1" outlineData="1" multipleFieldFilters="0" chartFormat="41">
  <location ref="I3:J13"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Satisfaction Score" fld="2" subtotal="average" baseField="0" baseItem="0"/>
  </dataFields>
  <formats count="2">
    <format dxfId="1">
      <pivotArea collapsedLevelsAreSubtotals="1" fieldPosition="0">
        <references count="1">
          <reference field="0" count="1">
            <x v="9"/>
          </reference>
        </references>
      </pivotArea>
    </format>
    <format dxfId="0">
      <pivotArea outline="0" collapsedLevelsAreSubtotals="1" fieldPosition="0"/>
    </format>
  </formats>
  <chartFormats count="3">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C4D9C-3F56-420D-BFB9-B585BCCC7191}" name="PivotTable12" cacheId="4" applyNumberFormats="0" applyBorderFormats="0" applyFontFormats="0" applyPatternFormats="0" applyAlignmentFormats="0" applyWidthHeightFormats="1" dataCaption="Values" tag="82ed38ea-db50-4694-a712-114dd990f4ba" updatedVersion="8" minRefreshableVersion="3" subtotalHiddenItems="1" itemPrintTitles="1" createdVersion="5" indent="0" outline="1" outlineData="1" multipleFieldFilters="0" chartFormat="20">
  <location ref="B60:C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7">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 dxfId="5">
      <pivotArea dataOnly="0" labelOnly="1" outline="0" axis="axisValues" fieldPosition="0"/>
    </format>
    <format dxfId="4">
      <pivotArea outline="0" collapsedLevelsAreSubtotals="1" fieldPosition="0"/>
    </format>
    <format dxfId="3">
      <pivotArea grandRow="1" outline="0" collapsedLevelsAreSubtotals="1" fieldPosition="0"/>
    </format>
    <format dxfId="2">
      <pivotArea collapsedLevelsAreSubtotals="1" fieldPosition="0">
        <references count="1">
          <reference field="1" count="0"/>
        </references>
      </pivotArea>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BC8D83-BB3A-4953-A655-996AB19C2967}" name="PivotTable5" cacheId="9" applyNumberFormats="0" applyBorderFormats="0" applyFontFormats="0" applyPatternFormats="0" applyAlignmentFormats="0" applyWidthHeightFormats="1" dataCaption="Values" tag="1f806de7-a9b8-4480-81f4-32490500c0bf" updatedVersion="8" minRefreshableVersion="3" subtotalHiddenItems="1" itemPrintTitles="1" createdVersion="5" indent="0" outline="1" outlineData="1" multipleFieldFilters="0" chartFormat="29">
  <location ref="E2:F12"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Waittime" fld="2" subtotal="average" baseField="0" baseItem="0" numFmtId="2"/>
  </dataFields>
  <formats count="2">
    <format dxfId="10">
      <pivotArea collapsedLevelsAreSubtotals="1" fieldPosition="0">
        <references count="1">
          <reference field="0" count="1">
            <x v="9"/>
          </reference>
        </references>
      </pivotArea>
    </format>
    <format dxfId="9">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3CF74F-5A51-4B36-A88C-592B2ED6367C}" name="PivotTable4" cacheId="8" applyNumberFormats="0" applyBorderFormats="0" applyFontFormats="0" applyPatternFormats="0" applyAlignmentFormats="0" applyWidthHeightFormats="1" dataCaption="Values" tag="8679bc31-9a4d-4da4-b5f9-127650dc0428" updatedVersion="8" minRefreshableVersion="3" subtotalHiddenItems="1" itemPrintTitles="1" createdVersion="5" indent="0" outline="1" outlineData="1" multipleFieldFilters="0" chartFormat="20">
  <location ref="B17:C27" firstHeaderRow="1"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7" format="4"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513B08-5DD5-45B4-AFD7-2FB6DFA11D0A}" name="PivotTable11" cacheId="3" applyNumberFormats="0" applyBorderFormats="0" applyFontFormats="0" applyPatternFormats="0" applyAlignmentFormats="0" applyWidthHeightFormats="1" dataCaption="Values" tag="5780de62-56eb-43ed-9917-5a6ed12b6016" updatedVersion="8" minRefreshableVersion="3" subtotalHiddenItems="1" itemPrintTitles="1" createdVersion="5" indent="0" outline="1" outlineData="1" multipleFieldFilters="0" chartFormat="15">
  <location ref="B54:C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7">
    <format dxfId="17">
      <pivotArea dataOnly="0" labelOnly="1" outline="0" axis="axisValues" fieldPosition="0"/>
    </format>
    <format dxfId="16">
      <pivotArea dataOnly="0" labelOnly="1" outline="0" axis="axisValues" fieldPosition="0"/>
    </format>
    <format dxfId="15">
      <pivotArea dataOnly="0" labelOnly="1" outline="0" axis="axisValues" fieldPosition="0"/>
    </format>
    <format dxfId="14">
      <pivotArea dataOnly="0" labelOnly="1" outline="0" axis="axisValues" fieldPosition="0"/>
    </format>
    <format dxfId="13">
      <pivotArea outline="0" collapsedLevelsAreSubtotals="1" fieldPosition="0"/>
    </format>
    <format dxfId="12">
      <pivotArea grandRow="1" outline="0" collapsedLevelsAreSubtotals="1" fieldPosition="0"/>
    </format>
    <format dxfId="11">
      <pivotArea collapsedLevelsAreSubtotals="1" fieldPosition="0">
        <references count="1">
          <reference field="1" count="0"/>
        </references>
      </pivotArea>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E774CA-7701-4465-B66D-CC93476B1F5D}" name="PivotTable3" cacheId="7" applyNumberFormats="0" applyBorderFormats="0" applyFontFormats="0" applyPatternFormats="0" applyAlignmentFormats="0" applyWidthHeightFormats="1" dataCaption="Values" tag="6bc46c2e-9b61-49be-9411-19e38d826102" updatedVersion="8" minRefreshableVersion="3"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5">
    <format dxfId="22">
      <pivotArea dataOnly="0" labelOnly="1" outline="0" axis="axisValues" fieldPosition="0"/>
    </format>
    <format dxfId="21">
      <pivotArea dataOnly="0" labelOnly="1" outline="0" axis="axisValues" fieldPosition="0"/>
    </format>
    <format dxfId="20">
      <pivotArea dataOnly="0" labelOnly="1" outline="0" axis="axisValues" fieldPosition="0"/>
    </format>
    <format dxfId="19">
      <pivotArea dataOnly="0" labelOnly="1" outline="0" axis="axisValues" fieldPosition="0"/>
    </format>
    <format dxfId="18">
      <pivotArea outline="0" collapsedLevelsAreSubtotals="1" fieldPosition="0"/>
    </format>
  </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FBAAE3-3FB7-4AE9-AD2B-B755CB898646}" name="PivotTable10" cacheId="2" applyNumberFormats="0" applyBorderFormats="0" applyFontFormats="0" applyPatternFormats="0" applyAlignmentFormats="0" applyWidthHeightFormats="1" dataCaption="Values" tag="8ac327bd-0116-4291-a575-31c3422b030b" updatedVersion="8" minRefreshableVersion="3" subtotalHiddenItems="1" itemPrintTitles="1" createdVersion="5" indent="0" outline="1" outlineData="1" multipleFieldFilters="0" chartFormat="6">
  <location ref="B43:C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7">
    <format dxfId="29">
      <pivotArea dataOnly="0" labelOnly="1" outline="0" axis="axisValues" fieldPosition="0"/>
    </format>
    <format dxfId="28">
      <pivotArea dataOnly="0" labelOnly="1" outline="0" axis="axisValues" fieldPosition="0"/>
    </format>
    <format dxfId="27">
      <pivotArea dataOnly="0" labelOnly="1" outline="0" axis="axisValues" fieldPosition="0"/>
    </format>
    <format dxfId="26">
      <pivotArea dataOnly="0" labelOnly="1" outline="0" axis="axisValues" fieldPosition="0"/>
    </format>
    <format dxfId="25">
      <pivotArea outline="0" collapsedLevelsAreSubtotals="1" fieldPosition="0"/>
    </format>
    <format dxfId="24">
      <pivotArea grandRow="1" outline="0" collapsedLevelsAreSubtotals="1" fieldPosition="0"/>
    </format>
    <format dxfId="23">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83D5BF-69E3-4648-ABDC-43E229B90DC0}" name="PivotTable2" cacheId="6" applyNumberFormats="0" applyBorderFormats="0" applyFontFormats="0" applyPatternFormats="0" applyAlignmentFormats="0" applyWidthHeightFormats="1" dataCaption="Values" tag="eb49f531-29a0-4955-be74-644554af7bfa" updatedVersion="8" minRefreshableVersion="3" subtotalHiddenItems="1" itemPrintTitles="1" createdVersion="5"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5">
    <format dxfId="34">
      <pivotArea dataOnly="0" labelOnly="1" outline="0" axis="axisValues" fieldPosition="0"/>
    </format>
    <format dxfId="33">
      <pivotArea dataOnly="0" labelOnly="1" outline="0" axis="axisValues" fieldPosition="0"/>
    </format>
    <format dxfId="32">
      <pivotArea dataOnly="0" labelOnly="1" outline="0" axis="axisValues" fieldPosition="0"/>
    </format>
    <format dxfId="31">
      <pivotArea dataOnly="0" labelOnly="1" outline="0" axis="axisValues" fieldPosition="0"/>
    </format>
    <format dxfId="30">
      <pivotArea outline="0" collapsedLevelsAreSubtotals="1" fieldPosition="0"/>
    </format>
  </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67EDD4-B304-4B0D-8427-2C71ADABF03B}" name="PivotTable9" cacheId="11" applyNumberFormats="0" applyBorderFormats="0" applyFontFormats="0" applyPatternFormats="0" applyAlignmentFormats="0" applyWidthHeightFormats="1" dataCaption="Values" tag="c1c47322-24c3-4f89-b7b6-af40240c507f" updatedVersion="8" minRefreshableVersion="3" subtotalHiddenItems="1" itemPrintTitles="1" createdVersion="5" indent="0" outline="1" outlineData="1" multipleFieldFilters="0" chartFormat="3">
  <location ref="B33:D3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8">
    <format dxfId="42">
      <pivotArea dataOnly="0" labelOnly="1" outline="0" axis="axisValues" fieldPosition="0"/>
    </format>
    <format dxfId="41">
      <pivotArea dataOnly="0" labelOnly="1" outline="0" axis="axisValues" fieldPosition="0"/>
    </format>
    <format dxfId="40">
      <pivotArea dataOnly="0" labelOnly="1" outline="0" axis="axisValues" fieldPosition="0"/>
    </format>
    <format dxfId="39">
      <pivotArea dataOnly="0" labelOnly="1" outline="0" axis="axisValues" fieldPosition="0"/>
    </format>
    <format dxfId="38">
      <pivotArea outline="0" collapsedLevelsAreSubtotals="1" fieldPosition="0"/>
    </format>
    <format dxfId="37">
      <pivotArea collapsedLevelsAreSubtotals="1" fieldPosition="0">
        <references count="1">
          <reference field="1" count="0"/>
        </references>
      </pivotArea>
    </format>
    <format dxfId="36">
      <pivotArea grandRow="1" outline="0" collapsedLevelsAreSubtotals="1" fieldPosition="0"/>
    </format>
    <format dxfId="35">
      <pivotArea outline="0" fieldPosition="0">
        <references count="1">
          <reference field="4294967294" count="1">
            <x v="1"/>
          </reference>
        </references>
      </pivotArea>
    </format>
  </formats>
  <chartFormats count="4">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E9F07D-43FE-4311-BA61-DE96575ACA05}" name="PivotTable14" cacheId="0" applyNumberFormats="0" applyBorderFormats="0" applyFontFormats="0" applyPatternFormats="0" applyAlignmentFormats="0" applyWidthHeightFormats="1" dataCaption="Values" tag="3c3134b5-3f8d-455b-bbbe-82ef145f5efb" updatedVersion="8" minRefreshableVersion="3" subtotalHiddenItems="1" itemPrintTitles="1" createdVersion="5" indent="0" outline="1" outlineData="1" multipleFieldFilters="0" chartFormat="23">
  <location ref="B78:B8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6">
    <format dxfId="48">
      <pivotArea dataOnly="0" labelOnly="1" outline="0" axis="axisValues" fieldPosition="0"/>
    </format>
    <format dxfId="47">
      <pivotArea dataOnly="0" labelOnly="1" outline="0" axis="axisValues" fieldPosition="0"/>
    </format>
    <format dxfId="46">
      <pivotArea dataOnly="0" labelOnly="1" outline="0" axis="axisValues" fieldPosition="0"/>
    </format>
    <format dxfId="45">
      <pivotArea dataOnly="0" labelOnly="1" outline="0" axis="axisValues" fieldPosition="0"/>
    </format>
    <format dxfId="44">
      <pivotArea outline="0" collapsedLevelsAreSubtotals="1" fieldPosition="0"/>
    </format>
    <format dxfId="43">
      <pivotArea grandRow="1" outline="0" collapsedLevelsAreSubtotals="1" fieldPosition="0"/>
    </format>
  </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FFF533-23CB-4858-A411-52D62C159370}" name="PivotTable13" cacheId="5" applyNumberFormats="0" applyBorderFormats="0" applyFontFormats="0" applyPatternFormats="0" applyAlignmentFormats="0" applyWidthHeightFormats="1" dataCaption="Values" tag="951354c2-970a-4f05-bf56-9471b204b192" updatedVersion="8" minRefreshableVersion="3" subtotalHiddenItems="1" itemPrintTitles="1" createdVersion="5" indent="0" outline="1" outlineData="1" multipleFieldFilters="0" chartFormat="23">
  <location ref="B66:C7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6"/>
    </i>
    <i>
      <x v="1"/>
    </i>
    <i>
      <x v="5"/>
    </i>
    <i>
      <x v="2"/>
    </i>
    <i>
      <x v="4"/>
    </i>
    <i t="grand">
      <x/>
    </i>
  </rowItems>
  <colItems count="1">
    <i/>
  </colItems>
  <dataFields count="1">
    <dataField name="Count of Department Referral" fld="2" subtotal="count" baseField="0" baseItem="0"/>
  </dataFields>
  <formats count="7">
    <format dxfId="55">
      <pivotArea dataOnly="0" labelOnly="1" outline="0" axis="axisValues" fieldPosition="0"/>
    </format>
    <format dxfId="54">
      <pivotArea dataOnly="0" labelOnly="1" outline="0" axis="axisValues" fieldPosition="0"/>
    </format>
    <format dxfId="53">
      <pivotArea dataOnly="0" labelOnly="1" outline="0" axis="axisValues" fieldPosition="0"/>
    </format>
    <format dxfId="52">
      <pivotArea dataOnly="0" labelOnly="1" outline="0" axis="axisValues" fieldPosition="0"/>
    </format>
    <format dxfId="51">
      <pivotArea outline="0" collapsedLevelsAreSubtotals="1" fieldPosition="0"/>
    </format>
    <format dxfId="50">
      <pivotArea grandRow="1" outline="0" collapsedLevelsAreSubtotals="1" fieldPosition="0"/>
    </format>
    <format dxfId="49">
      <pivotArea collapsedLevelsAreSubtotals="1" fieldPosition="0">
        <references count="1">
          <reference field="1" count="0"/>
        </references>
      </pivotArea>
    </format>
  </formats>
  <chartFormats count="1">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C39B0E9-0616-4EFE-B4DD-F8B70E5FE0AD}" sourceName="[Calender].[Date (Month)]">
  <pivotTables>
    <pivotTable tabId="2" name="PivotTable4"/>
    <pivotTable tabId="2" name="PivotTable1"/>
    <pivotTable tabId="2" name="PivotTable2"/>
    <pivotTable tabId="2" name="PivotTable3"/>
    <pivotTable tabId="2" name="PivotTable5"/>
    <pivotTable tabId="2" name="PivotTable8"/>
    <pivotTable tabId="2" name="PivotTable9"/>
    <pivotTable tabId="2" name="PivotTable10"/>
    <pivotTable tabId="2" name="PivotTable11"/>
    <pivotTable tabId="2" name="PivotTable12"/>
    <pivotTable tabId="2" name="PivotTable13"/>
    <pivotTable tabId="2" name="PivotTable14"/>
  </pivotTables>
  <data>
    <olap pivotCacheId="1274209090">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B260B74-BDA5-4DD1-99B2-D59399BB2AF6}" sourceName="[Calender].[Date (Year)]">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8"/>
    <pivotTable tabId="2" name="PivotTable9"/>
  </pivotTables>
  <data>
    <olap pivotCacheId="1274209090">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7CD045C-AA1E-450A-A00E-DD08258CD9B2}" cache="Slicer_Date__Month" caption="Date (Month)" showCaption="0" level="1" style="my" rowHeight="210312"/>
  <slicer name="Date (Year)" xr10:uid="{064A1627-B873-439B-9CB0-EAA42E3771DE}" cache="Slicer_Date__Year" caption="Date (Year)" columnCount="2" showCaption="0" level="1" style="m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D6CF1-962E-4B15-942C-9B9AE924A446}">
  <dimension ref="B1:J80"/>
  <sheetViews>
    <sheetView topLeftCell="A54" workbookViewId="0">
      <selection activeCell="B78" sqref="B78:C87"/>
    </sheetView>
  </sheetViews>
  <sheetFormatPr defaultRowHeight="14.4" x14ac:dyDescent="0.3"/>
  <cols>
    <col min="2" max="2" width="14.6640625" customWidth="1"/>
    <col min="3" max="3" width="12" customWidth="1"/>
    <col min="4" max="4" width="24.109375" customWidth="1"/>
    <col min="5" max="5" width="14.5546875" customWidth="1"/>
    <col min="6" max="6" width="23.77734375" customWidth="1"/>
    <col min="9" max="9" width="12.44140625" bestFit="1" customWidth="1"/>
    <col min="10" max="10" width="29.6640625" customWidth="1"/>
    <col min="11" max="11" width="12.44140625" bestFit="1" customWidth="1"/>
    <col min="12" max="12" width="24.21875" bestFit="1" customWidth="1"/>
  </cols>
  <sheetData>
    <row r="1" spans="2:10" x14ac:dyDescent="0.3">
      <c r="E1" s="14" t="s">
        <v>17</v>
      </c>
      <c r="F1" s="14"/>
    </row>
    <row r="2" spans="2:10" x14ac:dyDescent="0.3">
      <c r="B2" t="s">
        <v>3</v>
      </c>
      <c r="E2" s="1" t="s">
        <v>0</v>
      </c>
      <c r="F2" t="s">
        <v>4</v>
      </c>
      <c r="I2" s="14" t="s">
        <v>18</v>
      </c>
      <c r="J2" s="14"/>
    </row>
    <row r="3" spans="2:10" x14ac:dyDescent="0.3">
      <c r="B3" t="s">
        <v>2</v>
      </c>
      <c r="E3" s="2" t="s">
        <v>7</v>
      </c>
      <c r="F3" s="3">
        <v>35.736842105263158</v>
      </c>
      <c r="I3" s="1" t="s">
        <v>0</v>
      </c>
      <c r="J3" t="s">
        <v>5</v>
      </c>
    </row>
    <row r="4" spans="2:10" x14ac:dyDescent="0.3">
      <c r="B4">
        <v>151</v>
      </c>
      <c r="E4" s="2" t="s">
        <v>8</v>
      </c>
      <c r="F4" s="3">
        <v>33.666666666666664</v>
      </c>
      <c r="I4" s="2" t="s">
        <v>7</v>
      </c>
      <c r="J4" s="3">
        <v>5.5714285714285712</v>
      </c>
    </row>
    <row r="5" spans="2:10" x14ac:dyDescent="0.3">
      <c r="E5" s="2" t="s">
        <v>9</v>
      </c>
      <c r="F5" s="3">
        <v>34.388888888888886</v>
      </c>
      <c r="I5" s="2" t="s">
        <v>8</v>
      </c>
      <c r="J5" s="3">
        <v>5.5</v>
      </c>
    </row>
    <row r="6" spans="2:10" x14ac:dyDescent="0.3">
      <c r="E6" s="2" t="s">
        <v>10</v>
      </c>
      <c r="F6" s="3">
        <v>24.5</v>
      </c>
      <c r="I6" s="2" t="s">
        <v>9</v>
      </c>
      <c r="J6" s="3">
        <v>4.333333333333333</v>
      </c>
    </row>
    <row r="7" spans="2:10" x14ac:dyDescent="0.3">
      <c r="E7" s="2" t="s">
        <v>11</v>
      </c>
      <c r="F7" s="3">
        <v>39.478260869565219</v>
      </c>
      <c r="I7" s="2" t="s">
        <v>10</v>
      </c>
      <c r="J7" s="3">
        <v>2</v>
      </c>
    </row>
    <row r="8" spans="2:10" x14ac:dyDescent="0.3">
      <c r="B8" s="2" t="s">
        <v>4</v>
      </c>
      <c r="E8" s="2" t="s">
        <v>12</v>
      </c>
      <c r="F8" s="3">
        <v>34.846153846153847</v>
      </c>
      <c r="I8" s="2" t="s">
        <v>11</v>
      </c>
      <c r="J8" s="3">
        <v>6.2</v>
      </c>
    </row>
    <row r="9" spans="2:10" x14ac:dyDescent="0.3">
      <c r="B9" s="3">
        <v>34.589403973509931</v>
      </c>
      <c r="E9" s="2" t="s">
        <v>13</v>
      </c>
      <c r="F9" s="3">
        <v>29.210526315789473</v>
      </c>
      <c r="I9" s="2" t="s">
        <v>12</v>
      </c>
      <c r="J9" s="3">
        <v>4</v>
      </c>
    </row>
    <row r="10" spans="2:10" x14ac:dyDescent="0.3">
      <c r="E10" s="2" t="s">
        <v>14</v>
      </c>
      <c r="F10" s="3">
        <v>33.176470588235297</v>
      </c>
      <c r="I10" s="2" t="s">
        <v>13</v>
      </c>
      <c r="J10" s="3">
        <v>5.333333333333333</v>
      </c>
    </row>
    <row r="11" spans="2:10" x14ac:dyDescent="0.3">
      <c r="E11" s="2" t="s">
        <v>15</v>
      </c>
      <c r="F11" s="3">
        <v>40.1875</v>
      </c>
      <c r="I11" s="2" t="s">
        <v>14</v>
      </c>
      <c r="J11" s="3">
        <v>2.4285714285714284</v>
      </c>
    </row>
    <row r="12" spans="2:10" x14ac:dyDescent="0.3">
      <c r="E12" s="2" t="s">
        <v>1</v>
      </c>
      <c r="F12" s="3">
        <v>34.589403973509931</v>
      </c>
      <c r="I12" s="2" t="s">
        <v>15</v>
      </c>
      <c r="J12" s="3">
        <v>2.875</v>
      </c>
    </row>
    <row r="13" spans="2:10" x14ac:dyDescent="0.3">
      <c r="B13" s="2" t="s">
        <v>5</v>
      </c>
      <c r="I13" s="2" t="s">
        <v>1</v>
      </c>
      <c r="J13" s="3">
        <v>4.2325581395348841</v>
      </c>
    </row>
    <row r="14" spans="2:10" x14ac:dyDescent="0.3">
      <c r="B14" s="3">
        <v>4.2325581395348841</v>
      </c>
    </row>
    <row r="16" spans="2:10" x14ac:dyDescent="0.3">
      <c r="B16" s="14" t="s">
        <v>16</v>
      </c>
      <c r="C16" s="14"/>
    </row>
    <row r="17" spans="2:3" x14ac:dyDescent="0.3">
      <c r="B17" s="1" t="s">
        <v>0</v>
      </c>
      <c r="C17" t="s">
        <v>2</v>
      </c>
    </row>
    <row r="18" spans="2:3" x14ac:dyDescent="0.3">
      <c r="B18" s="2" t="s">
        <v>7</v>
      </c>
      <c r="C18">
        <v>19</v>
      </c>
    </row>
    <row r="19" spans="2:3" x14ac:dyDescent="0.3">
      <c r="B19" s="2" t="s">
        <v>8</v>
      </c>
      <c r="C19">
        <v>18</v>
      </c>
    </row>
    <row r="20" spans="2:3" x14ac:dyDescent="0.3">
      <c r="B20" s="2" t="s">
        <v>9</v>
      </c>
      <c r="C20">
        <v>18</v>
      </c>
    </row>
    <row r="21" spans="2:3" x14ac:dyDescent="0.3">
      <c r="B21" s="2" t="s">
        <v>10</v>
      </c>
      <c r="C21">
        <v>8</v>
      </c>
    </row>
    <row r="22" spans="2:3" x14ac:dyDescent="0.3">
      <c r="B22" s="2" t="s">
        <v>11</v>
      </c>
      <c r="C22">
        <v>23</v>
      </c>
    </row>
    <row r="23" spans="2:3" x14ac:dyDescent="0.3">
      <c r="B23" s="2" t="s">
        <v>12</v>
      </c>
      <c r="C23">
        <v>13</v>
      </c>
    </row>
    <row r="24" spans="2:3" x14ac:dyDescent="0.3">
      <c r="B24" s="2" t="s">
        <v>13</v>
      </c>
      <c r="C24">
        <v>19</v>
      </c>
    </row>
    <row r="25" spans="2:3" x14ac:dyDescent="0.3">
      <c r="B25" s="2" t="s">
        <v>14</v>
      </c>
      <c r="C25">
        <v>17</v>
      </c>
    </row>
    <row r="26" spans="2:3" x14ac:dyDescent="0.3">
      <c r="B26" s="2" t="s">
        <v>15</v>
      </c>
      <c r="C26">
        <v>16</v>
      </c>
    </row>
    <row r="27" spans="2:3" x14ac:dyDescent="0.3">
      <c r="B27" s="2" t="s">
        <v>1</v>
      </c>
      <c r="C27">
        <v>151</v>
      </c>
    </row>
    <row r="33" spans="2:5" x14ac:dyDescent="0.3">
      <c r="B33" s="1" t="s">
        <v>0</v>
      </c>
      <c r="C33" t="s">
        <v>21</v>
      </c>
      <c r="D33" t="s">
        <v>22</v>
      </c>
    </row>
    <row r="34" spans="2:5" x14ac:dyDescent="0.3">
      <c r="B34" s="2" t="s">
        <v>19</v>
      </c>
      <c r="C34" s="6">
        <v>74</v>
      </c>
      <c r="D34" s="7">
        <v>0.49006622516556292</v>
      </c>
    </row>
    <row r="35" spans="2:5" x14ac:dyDescent="0.3">
      <c r="B35" s="2" t="s">
        <v>20</v>
      </c>
      <c r="C35" s="6">
        <v>77</v>
      </c>
      <c r="D35" s="7">
        <v>0.50993377483443714</v>
      </c>
    </row>
    <row r="36" spans="2:5" x14ac:dyDescent="0.3">
      <c r="B36" s="2" t="s">
        <v>1</v>
      </c>
      <c r="C36" s="6">
        <v>151</v>
      </c>
      <c r="D36" s="7">
        <v>1</v>
      </c>
    </row>
    <row r="39" spans="2:5" x14ac:dyDescent="0.3">
      <c r="B39" s="10" t="s">
        <v>23</v>
      </c>
      <c r="C39" s="10" t="s">
        <v>25</v>
      </c>
      <c r="D39" s="10" t="s">
        <v>24</v>
      </c>
      <c r="E39" s="8"/>
    </row>
    <row r="40" spans="2:5" x14ac:dyDescent="0.3">
      <c r="B40" s="11" t="str">
        <f>B35</f>
        <v>Not admitted</v>
      </c>
      <c r="C40" s="11">
        <f>C35</f>
        <v>77</v>
      </c>
      <c r="D40" s="13">
        <f>D35</f>
        <v>0.50993377483443714</v>
      </c>
      <c r="E40" s="9"/>
    </row>
    <row r="41" spans="2:5" x14ac:dyDescent="0.3">
      <c r="B41" s="11" t="str">
        <f>B34</f>
        <v>Admitted</v>
      </c>
      <c r="C41" s="11">
        <f>C34</f>
        <v>74</v>
      </c>
      <c r="D41" s="13">
        <f>D34</f>
        <v>0.49006622516556292</v>
      </c>
      <c r="E41" s="9"/>
    </row>
    <row r="42" spans="2:5" x14ac:dyDescent="0.3">
      <c r="B42" s="12" t="s">
        <v>35</v>
      </c>
      <c r="C42" s="12"/>
      <c r="D42" s="12"/>
      <c r="E42" s="12"/>
    </row>
    <row r="43" spans="2:5" x14ac:dyDescent="0.3">
      <c r="B43" s="1" t="s">
        <v>0</v>
      </c>
      <c r="C43" s="2" t="s">
        <v>34</v>
      </c>
    </row>
    <row r="44" spans="2:5" x14ac:dyDescent="0.3">
      <c r="B44" s="2" t="s">
        <v>26</v>
      </c>
      <c r="C44" s="6">
        <v>23</v>
      </c>
    </row>
    <row r="45" spans="2:5" x14ac:dyDescent="0.3">
      <c r="B45" s="2" t="s">
        <v>27</v>
      </c>
      <c r="C45" s="6">
        <v>20</v>
      </c>
    </row>
    <row r="46" spans="2:5" x14ac:dyDescent="0.3">
      <c r="B46" s="2" t="s">
        <v>28</v>
      </c>
      <c r="C46" s="6">
        <v>22</v>
      </c>
    </row>
    <row r="47" spans="2:5" x14ac:dyDescent="0.3">
      <c r="B47" s="2" t="s">
        <v>29</v>
      </c>
      <c r="C47" s="6">
        <v>16</v>
      </c>
    </row>
    <row r="48" spans="2:5" x14ac:dyDescent="0.3">
      <c r="B48" s="2" t="s">
        <v>30</v>
      </c>
      <c r="C48" s="6">
        <v>22</v>
      </c>
    </row>
    <row r="49" spans="2:3" x14ac:dyDescent="0.3">
      <c r="B49" s="2" t="s">
        <v>31</v>
      </c>
      <c r="C49" s="6">
        <v>15</v>
      </c>
    </row>
    <row r="50" spans="2:3" x14ac:dyDescent="0.3">
      <c r="B50" s="2" t="s">
        <v>32</v>
      </c>
      <c r="C50" s="6">
        <v>16</v>
      </c>
    </row>
    <row r="51" spans="2:3" x14ac:dyDescent="0.3">
      <c r="B51" s="2" t="s">
        <v>33</v>
      </c>
      <c r="C51" s="6">
        <v>17</v>
      </c>
    </row>
    <row r="52" spans="2:3" x14ac:dyDescent="0.3">
      <c r="B52" s="2" t="s">
        <v>1</v>
      </c>
      <c r="C52" s="6">
        <v>151</v>
      </c>
    </row>
    <row r="53" spans="2:3" x14ac:dyDescent="0.3">
      <c r="B53" s="2" t="s">
        <v>39</v>
      </c>
    </row>
    <row r="54" spans="2:3" x14ac:dyDescent="0.3">
      <c r="B54" s="1" t="s">
        <v>0</v>
      </c>
      <c r="C54" s="2" t="s">
        <v>38</v>
      </c>
    </row>
    <row r="55" spans="2:3" x14ac:dyDescent="0.3">
      <c r="B55" s="2" t="s">
        <v>36</v>
      </c>
      <c r="C55" s="6">
        <v>87</v>
      </c>
    </row>
    <row r="56" spans="2:3" x14ac:dyDescent="0.3">
      <c r="B56" s="2" t="s">
        <v>37</v>
      </c>
      <c r="C56" s="6">
        <v>64</v>
      </c>
    </row>
    <row r="57" spans="2:3" x14ac:dyDescent="0.3">
      <c r="B57" s="2" t="s">
        <v>1</v>
      </c>
      <c r="C57" s="6">
        <v>151</v>
      </c>
    </row>
    <row r="59" spans="2:3" x14ac:dyDescent="0.3">
      <c r="B59" s="2" t="s">
        <v>43</v>
      </c>
    </row>
    <row r="60" spans="2:3" x14ac:dyDescent="0.3">
      <c r="B60" s="1" t="s">
        <v>0</v>
      </c>
      <c r="C60" s="2" t="s">
        <v>42</v>
      </c>
    </row>
    <row r="61" spans="2:3" x14ac:dyDescent="0.3">
      <c r="B61" s="2" t="s">
        <v>40</v>
      </c>
      <c r="C61" s="6">
        <v>80</v>
      </c>
    </row>
    <row r="62" spans="2:3" x14ac:dyDescent="0.3">
      <c r="B62" s="2" t="s">
        <v>41</v>
      </c>
      <c r="C62" s="6">
        <v>71</v>
      </c>
    </row>
    <row r="63" spans="2:3" x14ac:dyDescent="0.3">
      <c r="B63" s="2" t="s">
        <v>1</v>
      </c>
      <c r="C63" s="6">
        <v>151</v>
      </c>
    </row>
    <row r="66" spans="2:3" x14ac:dyDescent="0.3">
      <c r="B66" s="1" t="s">
        <v>0</v>
      </c>
      <c r="C66" s="2" t="s">
        <v>52</v>
      </c>
    </row>
    <row r="67" spans="2:3" x14ac:dyDescent="0.3">
      <c r="B67" s="2" t="s">
        <v>51</v>
      </c>
      <c r="C67" s="6">
        <v>1</v>
      </c>
    </row>
    <row r="68" spans="2:3" x14ac:dyDescent="0.3">
      <c r="B68" s="2" t="s">
        <v>47</v>
      </c>
      <c r="C68" s="6">
        <v>3</v>
      </c>
    </row>
    <row r="69" spans="2:3" x14ac:dyDescent="0.3">
      <c r="B69" s="2" t="s">
        <v>44</v>
      </c>
      <c r="C69" s="6">
        <v>4</v>
      </c>
    </row>
    <row r="70" spans="2:3" x14ac:dyDescent="0.3">
      <c r="B70" s="2" t="s">
        <v>50</v>
      </c>
      <c r="C70" s="6">
        <v>4</v>
      </c>
    </row>
    <row r="71" spans="2:3" x14ac:dyDescent="0.3">
      <c r="B71" s="2" t="s">
        <v>45</v>
      </c>
      <c r="C71" s="6">
        <v>7</v>
      </c>
    </row>
    <row r="72" spans="2:3" x14ac:dyDescent="0.3">
      <c r="B72" s="2" t="s">
        <v>49</v>
      </c>
      <c r="C72" s="6">
        <v>15</v>
      </c>
    </row>
    <row r="73" spans="2:3" x14ac:dyDescent="0.3">
      <c r="B73" s="2" t="s">
        <v>46</v>
      </c>
      <c r="C73" s="6">
        <v>33</v>
      </c>
    </row>
    <row r="74" spans="2:3" x14ac:dyDescent="0.3">
      <c r="B74" s="2" t="s">
        <v>48</v>
      </c>
      <c r="C74" s="6">
        <v>84</v>
      </c>
    </row>
    <row r="75" spans="2:3" x14ac:dyDescent="0.3">
      <c r="B75" s="2" t="s">
        <v>1</v>
      </c>
      <c r="C75" s="6">
        <v>151</v>
      </c>
    </row>
    <row r="78" spans="2:3" x14ac:dyDescent="0.3">
      <c r="B78" s="1" t="s">
        <v>0</v>
      </c>
    </row>
    <row r="79" spans="2:3" x14ac:dyDescent="0.3">
      <c r="B79" s="2" t="s">
        <v>6</v>
      </c>
    </row>
    <row r="80" spans="2:3" x14ac:dyDescent="0.3">
      <c r="B80" s="2" t="s">
        <v>1</v>
      </c>
    </row>
  </sheetData>
  <mergeCells count="3">
    <mergeCell ref="B16:C16"/>
    <mergeCell ref="E1:F1"/>
    <mergeCell ref="I2:J2"/>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54171-886F-41C6-819C-41062E8941D7}">
  <dimension ref="A1:N23"/>
  <sheetViews>
    <sheetView tabSelected="1" zoomScale="160" zoomScaleNormal="160" workbookViewId="0">
      <selection activeCell="L14" sqref="L14"/>
    </sheetView>
  </sheetViews>
  <sheetFormatPr defaultRowHeight="14.4" x14ac:dyDescent="0.3"/>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ht="15.6" customHeight="1"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4"/>
      <c r="B21" s="4"/>
      <c r="C21" s="4"/>
      <c r="D21" s="4"/>
      <c r="E21" s="4"/>
      <c r="F21" s="4"/>
      <c r="G21" s="4"/>
      <c r="H21" s="4"/>
      <c r="I21" s="4"/>
      <c r="J21" s="4"/>
      <c r="K21" s="4"/>
      <c r="L21" s="4"/>
      <c r="M21" s="4"/>
      <c r="N21" s="4"/>
    </row>
    <row r="22" spans="1:14" x14ac:dyDescent="0.3">
      <c r="A22" s="4"/>
      <c r="B22" s="4"/>
      <c r="C22" s="4"/>
      <c r="D22" s="4"/>
      <c r="E22" s="4"/>
      <c r="F22" s="4"/>
      <c r="G22" s="4"/>
      <c r="H22" s="4"/>
      <c r="I22" s="4"/>
      <c r="J22" s="4"/>
      <c r="K22" s="4"/>
      <c r="L22" s="4"/>
      <c r="M22" s="4"/>
      <c r="N22" s="4"/>
    </row>
    <row r="23" spans="1:14" x14ac:dyDescent="0.3">
      <c r="A23" s="4"/>
      <c r="B23" s="4"/>
      <c r="C23" s="4"/>
      <c r="D23" s="4"/>
      <c r="E23" s="4"/>
      <c r="F23" s="4"/>
      <c r="G23" s="4"/>
      <c r="H23" s="4"/>
      <c r="I23" s="4"/>
      <c r="J23" s="4"/>
      <c r="K23" s="4"/>
      <c r="L23" s="4"/>
      <c r="M23" s="4"/>
      <c r="N23"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8C9E1-9CE0-4F77-94E4-03F63357AEBD}">
  <dimension ref="A1:S34"/>
  <sheetViews>
    <sheetView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row r="31" spans="1:19" x14ac:dyDescent="0.3">
      <c r="A31" s="5"/>
      <c r="B31" s="5"/>
      <c r="C31" s="5"/>
      <c r="D31" s="5"/>
      <c r="E31" s="5"/>
      <c r="F31" s="5"/>
      <c r="G31" s="5"/>
      <c r="H31" s="5"/>
      <c r="I31" s="5"/>
      <c r="J31" s="5"/>
      <c r="K31" s="5"/>
      <c r="L31" s="5"/>
      <c r="M31" s="5"/>
      <c r="N31" s="5"/>
      <c r="O31" s="5"/>
      <c r="P31" s="5"/>
      <c r="Q31" s="5"/>
      <c r="R31" s="5"/>
      <c r="S31" s="5"/>
    </row>
    <row r="32" spans="1:19" x14ac:dyDescent="0.3">
      <c r="A32" s="5"/>
      <c r="B32" s="5"/>
      <c r="C32" s="5"/>
      <c r="D32" s="5"/>
      <c r="E32" s="5"/>
      <c r="F32" s="5"/>
      <c r="G32" s="5"/>
      <c r="H32" s="5"/>
      <c r="I32" s="5"/>
      <c r="J32" s="5"/>
      <c r="K32" s="5"/>
      <c r="L32" s="5"/>
      <c r="M32" s="5"/>
      <c r="N32" s="5"/>
      <c r="O32" s="5"/>
      <c r="P32" s="5"/>
      <c r="Q32" s="5"/>
      <c r="R32" s="5"/>
      <c r="S32" s="5"/>
    </row>
    <row r="33" spans="1:19" x14ac:dyDescent="0.3">
      <c r="A33" s="5"/>
      <c r="B33" s="5"/>
      <c r="C33" s="5"/>
      <c r="D33" s="5"/>
      <c r="E33" s="5"/>
      <c r="F33" s="5"/>
      <c r="G33" s="5"/>
      <c r="H33" s="5"/>
      <c r="I33" s="5"/>
      <c r="J33" s="5"/>
      <c r="K33" s="5"/>
      <c r="L33" s="5"/>
      <c r="M33" s="5"/>
      <c r="N33" s="5"/>
      <c r="O33" s="5"/>
      <c r="P33" s="5"/>
      <c r="Q33" s="5"/>
      <c r="R33" s="5"/>
      <c r="S33" s="5"/>
    </row>
    <row r="34" spans="1:19" x14ac:dyDescent="0.3">
      <c r="A34" s="5"/>
      <c r="B34" s="5"/>
      <c r="C34" s="5"/>
      <c r="D34" s="5"/>
      <c r="E34" s="5"/>
      <c r="F34" s="5"/>
      <c r="G34" s="5"/>
      <c r="H34" s="5"/>
      <c r="I34" s="5"/>
      <c r="J34" s="5"/>
      <c r="K34" s="5"/>
      <c r="L34" s="5"/>
      <c r="M34" s="5"/>
      <c r="N34" s="5"/>
      <c r="O34" s="5"/>
      <c r="P34" s="5"/>
      <c r="Q34" s="5"/>
      <c r="R34" s="5"/>
      <c r="S34"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E7B4-3B3C-4688-9A8C-A118B946A96E}">
  <dimension ref="A1:Q34"/>
  <sheetViews>
    <sheetView workbookViewId="0"/>
  </sheetViews>
  <sheetFormatPr defaultRowHeight="14.4" x14ac:dyDescent="0.3"/>
  <sheetData>
    <row r="1" spans="1:17" x14ac:dyDescent="0.3">
      <c r="A1" s="5"/>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5"/>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row r="26" spans="1:17" x14ac:dyDescent="0.3">
      <c r="A26" s="5"/>
      <c r="B26" s="5"/>
      <c r="C26" s="5"/>
      <c r="D26" s="5"/>
      <c r="E26" s="5"/>
      <c r="F26" s="5"/>
      <c r="G26" s="5"/>
      <c r="H26" s="5"/>
      <c r="I26" s="5"/>
      <c r="J26" s="5"/>
      <c r="K26" s="5"/>
      <c r="L26" s="5"/>
      <c r="M26" s="5"/>
      <c r="N26" s="5"/>
      <c r="O26" s="5"/>
      <c r="P26" s="5"/>
      <c r="Q26" s="5"/>
    </row>
    <row r="27" spans="1:17" x14ac:dyDescent="0.3">
      <c r="A27" s="5"/>
      <c r="B27" s="5"/>
      <c r="C27" s="5"/>
      <c r="D27" s="5"/>
      <c r="E27" s="5"/>
      <c r="F27" s="5"/>
      <c r="G27" s="5"/>
      <c r="H27" s="5"/>
      <c r="I27" s="5"/>
      <c r="J27" s="5"/>
      <c r="K27" s="5"/>
      <c r="L27" s="5"/>
      <c r="M27" s="5"/>
      <c r="N27" s="5"/>
      <c r="O27" s="5"/>
      <c r="P27" s="5"/>
      <c r="Q27" s="5"/>
    </row>
    <row r="28" spans="1:17" x14ac:dyDescent="0.3">
      <c r="A28" s="5"/>
      <c r="B28" s="5"/>
      <c r="C28" s="5"/>
      <c r="D28" s="5"/>
      <c r="E28" s="5"/>
      <c r="F28" s="5"/>
      <c r="G28" s="5"/>
      <c r="H28" s="5"/>
      <c r="I28" s="5"/>
      <c r="J28" s="5"/>
      <c r="K28" s="5"/>
      <c r="L28" s="5"/>
      <c r="M28" s="5"/>
      <c r="N28" s="5"/>
      <c r="O28" s="5"/>
      <c r="P28" s="5"/>
      <c r="Q28" s="5"/>
    </row>
    <row r="29" spans="1:17" x14ac:dyDescent="0.3">
      <c r="A29" s="5"/>
      <c r="B29" s="5"/>
      <c r="C29" s="5"/>
      <c r="D29" s="5"/>
      <c r="E29" s="5"/>
      <c r="F29" s="5"/>
      <c r="G29" s="5"/>
      <c r="H29" s="5"/>
      <c r="I29" s="5"/>
      <c r="J29" s="5"/>
      <c r="K29" s="5"/>
      <c r="L29" s="5"/>
      <c r="M29" s="5"/>
      <c r="N29" s="5"/>
      <c r="O29" s="5"/>
      <c r="P29" s="5"/>
      <c r="Q29" s="5"/>
    </row>
    <row r="30" spans="1:17" x14ac:dyDescent="0.3">
      <c r="A30" s="5"/>
      <c r="B30" s="5"/>
      <c r="C30" s="5"/>
      <c r="D30" s="5"/>
      <c r="E30" s="5"/>
      <c r="F30" s="5"/>
      <c r="G30" s="5"/>
      <c r="H30" s="5"/>
      <c r="I30" s="5"/>
      <c r="J30" s="5"/>
      <c r="K30" s="5"/>
      <c r="L30" s="5"/>
      <c r="M30" s="5"/>
      <c r="N30" s="5"/>
      <c r="O30" s="5"/>
      <c r="P30" s="5"/>
      <c r="Q30" s="5"/>
    </row>
    <row r="31" spans="1:17" x14ac:dyDescent="0.3">
      <c r="A31" s="5"/>
      <c r="B31" s="5"/>
      <c r="C31" s="5"/>
      <c r="D31" s="5"/>
      <c r="E31" s="5"/>
      <c r="F31" s="5"/>
      <c r="G31" s="5"/>
      <c r="H31" s="5"/>
      <c r="I31" s="5"/>
      <c r="J31" s="5"/>
      <c r="K31" s="5"/>
      <c r="L31" s="5"/>
      <c r="M31" s="5"/>
      <c r="N31" s="5"/>
      <c r="O31" s="5"/>
      <c r="P31" s="5"/>
      <c r="Q31" s="5"/>
    </row>
    <row r="32" spans="1:17" x14ac:dyDescent="0.3">
      <c r="A32" s="5"/>
      <c r="B32" s="5"/>
      <c r="C32" s="5"/>
      <c r="D32" s="5"/>
      <c r="E32" s="5"/>
      <c r="F32" s="5"/>
      <c r="G32" s="5"/>
      <c r="H32" s="5"/>
      <c r="I32" s="5"/>
      <c r="J32" s="5"/>
      <c r="K32" s="5"/>
      <c r="L32" s="5"/>
      <c r="M32" s="5"/>
      <c r="N32" s="5"/>
      <c r="O32" s="5"/>
      <c r="P32" s="5"/>
      <c r="Q32" s="5"/>
    </row>
    <row r="33" spans="1:17" x14ac:dyDescent="0.3">
      <c r="A33" s="5"/>
      <c r="B33" s="5"/>
      <c r="C33" s="5"/>
      <c r="D33" s="5"/>
      <c r="E33" s="5"/>
      <c r="F33" s="5"/>
      <c r="G33" s="5"/>
      <c r="H33" s="5"/>
      <c r="I33" s="5"/>
      <c r="J33" s="5"/>
      <c r="K33" s="5"/>
      <c r="L33" s="5"/>
      <c r="M33" s="5"/>
      <c r="N33" s="5"/>
      <c r="O33" s="5"/>
      <c r="P33" s="5"/>
      <c r="Q33" s="5"/>
    </row>
    <row r="34" spans="1:17" x14ac:dyDescent="0.3">
      <c r="A34" s="5"/>
      <c r="B34" s="5"/>
      <c r="C34" s="5"/>
      <c r="D34" s="5"/>
      <c r="E34" s="5"/>
      <c r="F34" s="5"/>
      <c r="G34" s="5"/>
      <c r="H34" s="5"/>
      <c r="I34" s="5"/>
      <c r="J34" s="5"/>
      <c r="K34" s="5"/>
      <c r="L34" s="5"/>
      <c r="M34" s="5"/>
      <c r="N34" s="5"/>
      <c r="O34" s="5"/>
      <c r="P34" s="5"/>
      <c r="Q34" s="5"/>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26B5-A9C9-492E-AF3E-D6952B72C009}">
  <dimension ref="A1:S34"/>
  <sheetViews>
    <sheetView workbookViewId="0">
      <selection activeCell="E33" sqref="E33"/>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row r="31" spans="1:19" x14ac:dyDescent="0.3">
      <c r="A31" s="5"/>
      <c r="B31" s="5"/>
      <c r="C31" s="5"/>
      <c r="D31" s="5"/>
      <c r="E31" s="5"/>
      <c r="F31" s="5"/>
      <c r="G31" s="5"/>
      <c r="H31" s="5"/>
      <c r="I31" s="5"/>
      <c r="J31" s="5"/>
      <c r="K31" s="5"/>
      <c r="L31" s="5"/>
      <c r="M31" s="5"/>
      <c r="N31" s="5"/>
      <c r="O31" s="5"/>
      <c r="P31" s="5"/>
      <c r="Q31" s="5"/>
      <c r="R31" s="5"/>
      <c r="S31" s="5"/>
    </row>
    <row r="32" spans="1:19" x14ac:dyDescent="0.3">
      <c r="A32" s="5"/>
      <c r="B32" s="5"/>
      <c r="C32" s="5"/>
      <c r="D32" s="5"/>
      <c r="E32" s="5"/>
      <c r="F32" s="5"/>
      <c r="G32" s="5"/>
      <c r="H32" s="5"/>
      <c r="I32" s="5"/>
      <c r="J32" s="5"/>
      <c r="K32" s="5"/>
      <c r="L32" s="5"/>
      <c r="M32" s="5"/>
      <c r="N32" s="5"/>
      <c r="O32" s="5"/>
      <c r="P32" s="5"/>
      <c r="Q32" s="5"/>
      <c r="R32" s="5"/>
      <c r="S32" s="5"/>
    </row>
    <row r="33" spans="1:19" x14ac:dyDescent="0.3">
      <c r="A33" s="5"/>
      <c r="B33" s="5"/>
      <c r="C33" s="5"/>
      <c r="D33" s="5"/>
      <c r="E33" s="5"/>
      <c r="F33" s="5"/>
      <c r="G33" s="5"/>
      <c r="H33" s="5"/>
      <c r="I33" s="5"/>
      <c r="J33" s="5"/>
      <c r="K33" s="5"/>
      <c r="L33" s="5"/>
      <c r="M33" s="5"/>
      <c r="N33" s="5"/>
      <c r="O33" s="5"/>
      <c r="P33" s="5"/>
      <c r="Q33" s="5"/>
      <c r="R33" s="5"/>
      <c r="S33" s="5"/>
    </row>
    <row r="34" spans="1:19" x14ac:dyDescent="0.3">
      <c r="A34" s="5"/>
      <c r="B34" s="5"/>
      <c r="C34" s="5"/>
      <c r="D34" s="5"/>
      <c r="E34" s="5"/>
      <c r="F34" s="5"/>
      <c r="G34" s="5"/>
      <c r="H34" s="5"/>
      <c r="I34" s="5"/>
      <c r="J34" s="5"/>
      <c r="K34" s="5"/>
      <c r="L34" s="5"/>
      <c r="M34" s="5"/>
      <c r="N34" s="5"/>
      <c r="O34" s="5"/>
      <c r="P34" s="5"/>
      <c r="Q34" s="5"/>
      <c r="R34" s="5"/>
      <c r="S34"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8CA4526-EF81-4543-9500-107F90A2696C}">
  <ds:schemaRefs/>
</ds:datastoreItem>
</file>

<file path=customXml/itemProps2.xml><?xml version="1.0" encoding="utf-8"?>
<ds:datastoreItem xmlns:ds="http://schemas.openxmlformats.org/officeDocument/2006/customXml" ds:itemID="{A0BBC12E-1BAA-4F06-AEAC-3B7D53C8453D}">
  <ds:schemaRefs/>
</ds:datastoreItem>
</file>

<file path=customXml/itemProps3.xml><?xml version="1.0" encoding="utf-8"?>
<ds:datastoreItem xmlns:ds="http://schemas.openxmlformats.org/officeDocument/2006/customXml" ds:itemID="{ECD197CB-A93C-4A80-8EF9-C3A542BBB5AB}">
  <ds:schemaRefs/>
</ds:datastoreItem>
</file>

<file path=customXml/itemProps4.xml><?xml version="1.0" encoding="utf-8"?>
<ds:datastoreItem xmlns:ds="http://schemas.openxmlformats.org/officeDocument/2006/customXml" ds:itemID="{D3ECBDD4-7F8A-4817-8805-853624EDFD00}">
  <ds:schemaRefs/>
</ds:datastoreItem>
</file>

<file path=customXml/itemProps5.xml><?xml version="1.0" encoding="utf-8"?>
<ds:datastoreItem xmlns:ds="http://schemas.openxmlformats.org/officeDocument/2006/customXml" ds:itemID="{5ADED2BB-1AAB-48B7-8EB1-728286983097}">
  <ds:schemaRefs>
    <ds:schemaRef ds:uri="http://schemas.microsoft.com/DataMashup"/>
  </ds:schemaRefs>
</ds:datastoreItem>
</file>

<file path=customXml/itemProps6.xml><?xml version="1.0" encoding="utf-8"?>
<ds:datastoreItem xmlns:ds="http://schemas.openxmlformats.org/officeDocument/2006/customXml" ds:itemID="{C3CFA24E-00C6-4A10-BC1B-73B172560CC9}">
  <ds:schemaRefs/>
</ds:datastoreItem>
</file>

<file path=customXml/itemProps7.xml><?xml version="1.0" encoding="utf-8"?>
<ds:datastoreItem xmlns:ds="http://schemas.openxmlformats.org/officeDocument/2006/customXml" ds:itemID="{A1A76CD3-AAE8-4AD2-BAD3-37A0BD8D071A}">
  <ds:schemaRefs/>
</ds:datastoreItem>
</file>

<file path=customXml/itemProps8.xml><?xml version="1.0" encoding="utf-8"?>
<ds:datastoreItem xmlns:ds="http://schemas.openxmlformats.org/officeDocument/2006/customXml" ds:itemID="{8033BCED-6D90-4ED4-BB33-7717A0EFB427}">
  <ds:schemaRefs/>
</ds:datastoreItem>
</file>

<file path=customXml/itemProps9.xml><?xml version="1.0" encoding="utf-8"?>
<ds:datastoreItem xmlns:ds="http://schemas.openxmlformats.org/officeDocument/2006/customXml" ds:itemID="{94AFE1DF-C980-4E82-A90E-15EE98B15F4D}">
  <ds:schemaRefs/>
</ds:datastoreItem>
</file>

<file path=customXml/itemProps10.xml><?xml version="1.0" encoding="utf-8"?>
<ds:datastoreItem xmlns:ds="http://schemas.openxmlformats.org/officeDocument/2006/customXml" ds:itemID="{9C386185-2ECB-4826-8B61-AF693034A971}">
  <ds:schemaRefs/>
</ds:datastoreItem>
</file>

<file path=customXml/itemProps11.xml><?xml version="1.0" encoding="utf-8"?>
<ds:datastoreItem xmlns:ds="http://schemas.openxmlformats.org/officeDocument/2006/customXml" ds:itemID="{A8F7C837-0D69-41F1-9A13-1BC6916D7C97}">
  <ds:schemaRefs/>
</ds:datastoreItem>
</file>

<file path=customXml/itemProps12.xml><?xml version="1.0" encoding="utf-8"?>
<ds:datastoreItem xmlns:ds="http://schemas.openxmlformats.org/officeDocument/2006/customXml" ds:itemID="{D6EB712B-63FC-4376-B843-7B9B9228A57C}">
  <ds:schemaRefs/>
</ds:datastoreItem>
</file>

<file path=customXml/itemProps13.xml><?xml version="1.0" encoding="utf-8"?>
<ds:datastoreItem xmlns:ds="http://schemas.openxmlformats.org/officeDocument/2006/customXml" ds:itemID="{81CA45E2-B03F-47D4-97C8-C1852346C350}">
  <ds:schemaRefs/>
</ds:datastoreItem>
</file>

<file path=customXml/itemProps14.xml><?xml version="1.0" encoding="utf-8"?>
<ds:datastoreItem xmlns:ds="http://schemas.openxmlformats.org/officeDocument/2006/customXml" ds:itemID="{FED70240-A263-49D2-805A-47AE1C67FBA8}">
  <ds:schemaRefs/>
</ds:datastoreItem>
</file>

<file path=customXml/itemProps15.xml><?xml version="1.0" encoding="utf-8"?>
<ds:datastoreItem xmlns:ds="http://schemas.openxmlformats.org/officeDocument/2006/customXml" ds:itemID="{A0ADD49A-F489-41FC-9447-ABABD1976228}">
  <ds:schemaRefs/>
</ds:datastoreItem>
</file>

<file path=customXml/itemProps16.xml><?xml version="1.0" encoding="utf-8"?>
<ds:datastoreItem xmlns:ds="http://schemas.openxmlformats.org/officeDocument/2006/customXml" ds:itemID="{EB35D3DA-E5F6-4891-8E2F-76244BEDF219}">
  <ds:schemaRefs/>
</ds:datastoreItem>
</file>

<file path=customXml/itemProps17.xml><?xml version="1.0" encoding="utf-8"?>
<ds:datastoreItem xmlns:ds="http://schemas.openxmlformats.org/officeDocument/2006/customXml" ds:itemID="{17479E3C-C214-4864-8C63-BBD5A8037AEF}">
  <ds:schemaRefs/>
</ds:datastoreItem>
</file>

<file path=customXml/itemProps18.xml><?xml version="1.0" encoding="utf-8"?>
<ds:datastoreItem xmlns:ds="http://schemas.openxmlformats.org/officeDocument/2006/customXml" ds:itemID="{9C6F4DA1-94C5-4619-B15B-4C031C5D84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vt:lpstr>
      <vt:lpstr>Daily ER no. of Patient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 Pawar</dc:creator>
  <cp:lastModifiedBy>Rupa Pawar</cp:lastModifiedBy>
  <dcterms:created xsi:type="dcterms:W3CDTF">2026-02-25T03:20:39Z</dcterms:created>
  <dcterms:modified xsi:type="dcterms:W3CDTF">2026-02-27T15:06:44Z</dcterms:modified>
</cp:coreProperties>
</file>